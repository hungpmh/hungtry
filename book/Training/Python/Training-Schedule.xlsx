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TC\Desktop\"/>
    </mc:Choice>
  </mc:AlternateContent>
  <xr:revisionPtr revIDLastSave="0" documentId="13_ncr:1_{0A7C1C40-F264-4BD3-AF1D-06DE708E1C52}" xr6:coauthVersionLast="46" xr6:coauthVersionMax="46" xr10:uidLastSave="{00000000-0000-0000-0000-000000000000}"/>
  <bookViews>
    <workbookView xWindow="-120" yWindow="-120" windowWidth="29040" windowHeight="16440" tabRatio="728" xr2:uid="{00000000-000D-0000-FFFF-FFFF00000000}"/>
  </bookViews>
  <sheets>
    <sheet name="Schedule" sheetId="2" r:id="rId1"/>
    <sheet name="DV-IDENTITY-0" sheetId="3" state="hidden" r:id="rId2"/>
  </sheets>
  <externalReferences>
    <externalReference r:id="rId3"/>
  </externalReferences>
  <definedNames>
    <definedName name="_xlnm._FilterDatabase" localSheetId="0">Schedule!$A$2:$H$43</definedName>
    <definedName name="_xlnm._FilterDatabase">#REF!</definedName>
    <definedName name="_FilterDatabase_0" localSheetId="0">Schedule!$A$2:$H$43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5" i="3" l="1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AM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IV3" i="3"/>
  <c r="IU3" i="3"/>
  <c r="IT3" i="3"/>
  <c r="IS3" i="3"/>
  <c r="IR3" i="3"/>
  <c r="IQ3" i="3"/>
  <c r="IP3" i="3"/>
  <c r="IO3" i="3"/>
  <c r="IN3" i="3"/>
  <c r="IM3" i="3"/>
  <c r="IL3" i="3"/>
  <c r="IK3" i="3"/>
  <c r="IJ3" i="3"/>
  <c r="II3" i="3"/>
  <c r="IH3" i="3"/>
  <c r="IG3" i="3"/>
  <c r="IF3" i="3"/>
  <c r="IE3" i="3"/>
  <c r="ID3" i="3"/>
  <c r="IC3" i="3"/>
  <c r="IB3" i="3"/>
  <c r="IA3" i="3"/>
  <c r="HZ3" i="3"/>
  <c r="HY3" i="3"/>
  <c r="HX3" i="3"/>
  <c r="HW3" i="3"/>
  <c r="HV3" i="3"/>
  <c r="HU3" i="3"/>
  <c r="HT3" i="3"/>
  <c r="HS3" i="3"/>
  <c r="HR3" i="3"/>
  <c r="HQ3" i="3"/>
  <c r="HP3" i="3"/>
  <c r="HO3" i="3"/>
  <c r="HN3" i="3"/>
  <c r="HM3" i="3"/>
  <c r="HL3" i="3"/>
  <c r="HK3" i="3"/>
  <c r="HJ3" i="3"/>
  <c r="HI3" i="3"/>
  <c r="HH3" i="3"/>
  <c r="HG3" i="3"/>
  <c r="HF3" i="3"/>
  <c r="HE3" i="3"/>
  <c r="HD3" i="3"/>
  <c r="HC3" i="3"/>
  <c r="HB3" i="3"/>
  <c r="HA3" i="3"/>
  <c r="GZ3" i="3"/>
  <c r="GY3" i="3"/>
  <c r="GX3" i="3"/>
  <c r="GW3" i="3"/>
  <c r="GV3" i="3"/>
  <c r="GU3" i="3"/>
  <c r="GT3" i="3"/>
  <c r="GS3" i="3"/>
  <c r="GR3" i="3"/>
  <c r="GQ3" i="3"/>
  <c r="GP3" i="3"/>
  <c r="GO3" i="3"/>
  <c r="GN3" i="3"/>
  <c r="GM3" i="3"/>
  <c r="GL3" i="3"/>
  <c r="GK3" i="3"/>
  <c r="GJ3" i="3"/>
  <c r="GI3" i="3"/>
  <c r="GH3" i="3"/>
  <c r="GG3" i="3"/>
  <c r="GF3" i="3"/>
  <c r="GE3" i="3"/>
  <c r="GD3" i="3"/>
  <c r="GC3" i="3"/>
  <c r="GB3" i="3"/>
  <c r="GA3" i="3"/>
  <c r="FZ3" i="3"/>
  <c r="FY3" i="3"/>
  <c r="FX3" i="3"/>
  <c r="FW3" i="3"/>
  <c r="FV3" i="3"/>
  <c r="FU3" i="3"/>
  <c r="FT3" i="3"/>
  <c r="FS3" i="3"/>
  <c r="FR3" i="3"/>
  <c r="FQ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EN3" i="3"/>
  <c r="EM3" i="3"/>
  <c r="EL3" i="3"/>
  <c r="EK3" i="3"/>
  <c r="EJ3" i="3"/>
  <c r="EI3" i="3"/>
  <c r="EH3" i="3"/>
  <c r="EG3" i="3"/>
  <c r="EF3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IV2" i="3"/>
  <c r="IU2" i="3"/>
  <c r="IT2" i="3"/>
  <c r="IS2" i="3"/>
  <c r="IR2" i="3"/>
  <c r="IQ2" i="3"/>
  <c r="IP2" i="3"/>
  <c r="IO2" i="3"/>
  <c r="IN2" i="3"/>
  <c r="IM2" i="3"/>
  <c r="IL2" i="3"/>
  <c r="IK2" i="3"/>
  <c r="IJ2" i="3"/>
  <c r="II2" i="3"/>
  <c r="IH2" i="3"/>
  <c r="IG2" i="3"/>
  <c r="IF2" i="3"/>
  <c r="IE2" i="3"/>
  <c r="ID2" i="3"/>
  <c r="IC2" i="3"/>
  <c r="IB2" i="3"/>
  <c r="IA2" i="3"/>
  <c r="HZ2" i="3"/>
  <c r="HY2" i="3"/>
  <c r="HX2" i="3"/>
  <c r="HW2" i="3"/>
  <c r="HV2" i="3"/>
  <c r="HU2" i="3"/>
  <c r="HT2" i="3"/>
  <c r="HS2" i="3"/>
  <c r="HR2" i="3"/>
  <c r="HQ2" i="3"/>
  <c r="HP2" i="3"/>
  <c r="HO2" i="3"/>
  <c r="HN2" i="3"/>
  <c r="HM2" i="3"/>
  <c r="HL2" i="3"/>
  <c r="HK2" i="3"/>
  <c r="HJ2" i="3"/>
  <c r="HI2" i="3"/>
  <c r="HH2" i="3"/>
  <c r="HG2" i="3"/>
  <c r="HF2" i="3"/>
  <c r="HE2" i="3"/>
  <c r="HD2" i="3"/>
  <c r="HC2" i="3"/>
  <c r="HB2" i="3"/>
  <c r="HA2" i="3"/>
  <c r="GZ2" i="3"/>
  <c r="GY2" i="3"/>
  <c r="GX2" i="3"/>
  <c r="GW2" i="3"/>
  <c r="GV2" i="3"/>
  <c r="GU2" i="3"/>
  <c r="GT2" i="3"/>
  <c r="GS2" i="3"/>
  <c r="GR2" i="3"/>
  <c r="GQ2" i="3"/>
  <c r="GP2" i="3"/>
  <c r="GO2" i="3"/>
  <c r="GN2" i="3"/>
  <c r="GM2" i="3"/>
  <c r="GL2" i="3"/>
  <c r="GK2" i="3"/>
  <c r="GJ2" i="3"/>
  <c r="GI2" i="3"/>
  <c r="GH2" i="3"/>
  <c r="GG2" i="3"/>
  <c r="GF2" i="3"/>
  <c r="GE2" i="3"/>
  <c r="GD2" i="3"/>
  <c r="GC2" i="3"/>
  <c r="GB2" i="3"/>
  <c r="GA2" i="3"/>
  <c r="FZ2" i="3"/>
  <c r="FY2" i="3"/>
  <c r="FX2" i="3"/>
  <c r="FW2" i="3"/>
  <c r="FV2" i="3"/>
  <c r="FU2" i="3"/>
  <c r="FT2" i="3"/>
  <c r="FS2" i="3"/>
  <c r="FR2" i="3"/>
  <c r="FQ2" i="3"/>
  <c r="FP2" i="3"/>
  <c r="FO2" i="3"/>
  <c r="FN2" i="3"/>
  <c r="FM2" i="3"/>
  <c r="FL2" i="3"/>
  <c r="FK2" i="3"/>
  <c r="FJ2" i="3"/>
  <c r="FI2" i="3"/>
  <c r="FH2" i="3"/>
  <c r="FG2" i="3"/>
  <c r="FF2" i="3"/>
  <c r="FE2" i="3"/>
  <c r="FD2" i="3"/>
  <c r="FC2" i="3"/>
  <c r="FB2" i="3"/>
  <c r="FA2" i="3"/>
  <c r="EZ2" i="3"/>
  <c r="EY2" i="3"/>
  <c r="EX2" i="3"/>
  <c r="EW2" i="3"/>
  <c r="EV2" i="3"/>
  <c r="EU2" i="3"/>
  <c r="ET2" i="3"/>
  <c r="ES2" i="3"/>
  <c r="ER2" i="3"/>
  <c r="EQ2" i="3"/>
  <c r="EP2" i="3"/>
  <c r="EO2" i="3"/>
  <c r="EN2" i="3"/>
  <c r="EM2" i="3"/>
  <c r="EL2" i="3"/>
  <c r="EK2" i="3"/>
  <c r="EJ2" i="3"/>
  <c r="EI2" i="3"/>
  <c r="EH2" i="3"/>
  <c r="EG2" i="3"/>
  <c r="EF2" i="3"/>
  <c r="EE2" i="3"/>
  <c r="ED2" i="3"/>
  <c r="EC2" i="3"/>
  <c r="EB2" i="3"/>
  <c r="EA2" i="3"/>
  <c r="DZ2" i="3"/>
  <c r="DY2" i="3"/>
  <c r="DX2" i="3"/>
  <c r="DW2" i="3"/>
  <c r="DV2" i="3"/>
  <c r="DU2" i="3"/>
  <c r="DT2" i="3"/>
  <c r="DS2" i="3"/>
  <c r="DR2" i="3"/>
  <c r="DQ2" i="3"/>
  <c r="DP2" i="3"/>
  <c r="DO2" i="3"/>
  <c r="DN2" i="3"/>
  <c r="DM2" i="3"/>
  <c r="DL2" i="3"/>
  <c r="DK2" i="3"/>
  <c r="DJ2" i="3"/>
  <c r="DI2" i="3"/>
  <c r="DH2" i="3"/>
  <c r="DG2" i="3"/>
  <c r="DF2" i="3"/>
  <c r="DE2" i="3"/>
  <c r="DD2" i="3"/>
  <c r="DC2" i="3"/>
  <c r="DB2" i="3"/>
  <c r="DA2" i="3"/>
  <c r="CZ2" i="3"/>
  <c r="CY2" i="3"/>
  <c r="CX2" i="3"/>
  <c r="CW2" i="3"/>
  <c r="CV2" i="3"/>
  <c r="CU2" i="3"/>
  <c r="CT2" i="3"/>
  <c r="CS2" i="3"/>
  <c r="CR2" i="3"/>
  <c r="CQ2" i="3"/>
  <c r="CP2" i="3"/>
  <c r="CO2" i="3"/>
  <c r="CN2" i="3"/>
  <c r="CM2" i="3"/>
  <c r="CL2" i="3"/>
  <c r="CK2" i="3"/>
  <c r="CJ2" i="3"/>
  <c r="CI2" i="3"/>
  <c r="CH2" i="3"/>
  <c r="CG2" i="3"/>
  <c r="CF2" i="3"/>
  <c r="CE2" i="3"/>
  <c r="CD2" i="3"/>
  <c r="CC2" i="3"/>
  <c r="CB2" i="3"/>
  <c r="CA2" i="3"/>
  <c r="BZ2" i="3"/>
  <c r="BY2" i="3"/>
  <c r="BX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IV1" i="3"/>
  <c r="IU1" i="3"/>
  <c r="IT1" i="3"/>
  <c r="IS1" i="3"/>
  <c r="IR1" i="3"/>
  <c r="IQ1" i="3"/>
  <c r="IP1" i="3"/>
  <c r="IO1" i="3"/>
  <c r="IN1" i="3"/>
  <c r="IM1" i="3"/>
  <c r="IL1" i="3"/>
  <c r="IK1" i="3"/>
  <c r="IJ1" i="3"/>
  <c r="II1" i="3"/>
  <c r="IH1" i="3"/>
  <c r="IG1" i="3"/>
  <c r="IF1" i="3"/>
  <c r="IE1" i="3"/>
  <c r="ID1" i="3"/>
  <c r="IC1" i="3"/>
  <c r="IB1" i="3"/>
  <c r="IA1" i="3"/>
  <c r="HZ1" i="3"/>
  <c r="HY1" i="3"/>
  <c r="HX1" i="3"/>
  <c r="HW1" i="3"/>
  <c r="HV1" i="3"/>
  <c r="HU1" i="3"/>
  <c r="HT1" i="3"/>
  <c r="HS1" i="3"/>
  <c r="HR1" i="3"/>
  <c r="HQ1" i="3"/>
  <c r="HP1" i="3"/>
  <c r="HO1" i="3"/>
  <c r="HN1" i="3"/>
  <c r="HM1" i="3"/>
  <c r="HL1" i="3"/>
  <c r="HK1" i="3"/>
  <c r="HJ1" i="3"/>
  <c r="HI1" i="3"/>
  <c r="HH1" i="3"/>
  <c r="HG1" i="3"/>
  <c r="HF1" i="3"/>
  <c r="HE1" i="3"/>
  <c r="HD1" i="3"/>
  <c r="HC1" i="3"/>
  <c r="HB1" i="3"/>
  <c r="HA1" i="3"/>
  <c r="GZ1" i="3"/>
  <c r="GY1" i="3"/>
  <c r="GX1" i="3"/>
  <c r="GW1" i="3"/>
  <c r="GV1" i="3"/>
  <c r="GU1" i="3"/>
  <c r="GT1" i="3"/>
  <c r="GS1" i="3"/>
  <c r="GR1" i="3"/>
  <c r="GQ1" i="3"/>
  <c r="GP1" i="3"/>
  <c r="GO1" i="3"/>
  <c r="GN1" i="3"/>
  <c r="GM1" i="3"/>
  <c r="GL1" i="3"/>
  <c r="GK1" i="3"/>
  <c r="GJ1" i="3"/>
  <c r="GI1" i="3"/>
  <c r="GH1" i="3"/>
  <c r="GG1" i="3"/>
  <c r="GF1" i="3"/>
  <c r="GE1" i="3"/>
  <c r="GD1" i="3"/>
  <c r="GC1" i="3"/>
  <c r="GB1" i="3"/>
  <c r="GA1" i="3"/>
  <c r="FZ1" i="3"/>
  <c r="FY1" i="3"/>
  <c r="FX1" i="3"/>
  <c r="FW1" i="3"/>
  <c r="FV1" i="3"/>
  <c r="FU1" i="3"/>
  <c r="FT1" i="3"/>
  <c r="FS1" i="3"/>
  <c r="FR1" i="3"/>
  <c r="FQ1" i="3"/>
  <c r="FP1" i="3"/>
  <c r="FO1" i="3"/>
  <c r="FN1" i="3"/>
  <c r="FM1" i="3"/>
  <c r="FL1" i="3"/>
  <c r="FK1" i="3"/>
  <c r="FJ1" i="3"/>
  <c r="FI1" i="3"/>
  <c r="FH1" i="3"/>
  <c r="FG1" i="3"/>
  <c r="FF1" i="3"/>
  <c r="FE1" i="3"/>
  <c r="FD1" i="3"/>
  <c r="FC1" i="3"/>
  <c r="FB1" i="3"/>
  <c r="FA1" i="3"/>
  <c r="EZ1" i="3"/>
  <c r="EY1" i="3"/>
  <c r="EX1" i="3"/>
  <c r="EW1" i="3"/>
  <c r="EV1" i="3"/>
  <c r="EU1" i="3"/>
  <c r="ET1" i="3"/>
  <c r="ES1" i="3"/>
  <c r="ER1" i="3"/>
  <c r="EQ1" i="3"/>
  <c r="EP1" i="3"/>
  <c r="EO1" i="3"/>
  <c r="EN1" i="3"/>
  <c r="EM1" i="3"/>
  <c r="EL1" i="3"/>
  <c r="EK1" i="3"/>
  <c r="EJ1" i="3"/>
  <c r="EI1" i="3"/>
  <c r="EH1" i="3"/>
  <c r="EG1" i="3"/>
  <c r="EF1" i="3"/>
  <c r="EE1" i="3"/>
  <c r="ED1" i="3"/>
  <c r="EB1" i="3"/>
  <c r="EA1" i="3"/>
  <c r="DZ1" i="3"/>
  <c r="DY1" i="3"/>
  <c r="DX1" i="3"/>
  <c r="DW1" i="3"/>
  <c r="DV1" i="3"/>
  <c r="DT1" i="3"/>
  <c r="DS1" i="3"/>
  <c r="DR1" i="3"/>
  <c r="DQ1" i="3"/>
  <c r="DP1" i="3"/>
  <c r="DO1" i="3"/>
  <c r="DN1" i="3"/>
  <c r="DL1" i="3"/>
  <c r="DK1" i="3"/>
  <c r="DJ1" i="3"/>
  <c r="DI1" i="3"/>
  <c r="DH1" i="3"/>
  <c r="DG1" i="3"/>
  <c r="DF1" i="3"/>
  <c r="DD1" i="3"/>
  <c r="DC1" i="3"/>
  <c r="DB1" i="3"/>
  <c r="DA1" i="3"/>
  <c r="CZ1" i="3"/>
  <c r="CY1" i="3"/>
  <c r="CX1" i="3"/>
  <c r="CV1" i="3"/>
  <c r="CU1" i="3"/>
  <c r="CT1" i="3"/>
  <c r="CS1" i="3"/>
  <c r="CR1" i="3"/>
  <c r="CQ1" i="3"/>
  <c r="CP1" i="3"/>
  <c r="CO1" i="3"/>
  <c r="CN1" i="3"/>
  <c r="CM1" i="3"/>
  <c r="CL1" i="3"/>
  <c r="CK1" i="3"/>
  <c r="CJ1" i="3"/>
  <c r="CI1" i="3"/>
  <c r="CH1" i="3"/>
  <c r="CG1" i="3"/>
  <c r="CF1" i="3"/>
  <c r="CE1" i="3"/>
  <c r="CD1" i="3"/>
  <c r="CC1" i="3"/>
  <c r="CB1" i="3"/>
  <c r="CA1" i="3"/>
  <c r="BZ1" i="3"/>
  <c r="BY1" i="3"/>
  <c r="BX1" i="3"/>
  <c r="BW1" i="3"/>
  <c r="BV1" i="3"/>
  <c r="BU1" i="3"/>
  <c r="BT1" i="3"/>
  <c r="BS1" i="3"/>
  <c r="BR1" i="3"/>
  <c r="BQ1" i="3"/>
  <c r="BP1" i="3"/>
  <c r="BO1" i="3"/>
  <c r="BN1" i="3"/>
  <c r="BM1" i="3"/>
  <c r="BL1" i="3"/>
  <c r="BK1" i="3"/>
  <c r="BJ1" i="3"/>
  <c r="BI1" i="3"/>
  <c r="BH1" i="3"/>
  <c r="BG1" i="3"/>
  <c r="BF1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G50" i="2"/>
  <c r="G49" i="2"/>
  <c r="G48" i="2"/>
  <c r="G47" i="2"/>
  <c r="G46" i="2"/>
  <c r="G45" i="2"/>
  <c r="G51" i="2" l="1"/>
  <c r="H48" i="2" s="1"/>
  <c r="DU1" i="3" s="1"/>
  <c r="H46" i="2" l="1"/>
  <c r="DE1" i="3" s="1"/>
  <c r="H50" i="2"/>
  <c r="EC1" i="3" s="1"/>
  <c r="H47" i="2"/>
  <c r="DM1" i="3" s="1"/>
  <c r="H49" i="2"/>
  <c r="H45" i="2"/>
  <c r="H51" i="2" l="1"/>
  <c r="CW1" i="3"/>
</calcChain>
</file>

<file path=xl/sharedStrings.xml><?xml version="1.0" encoding="utf-8"?>
<sst xmlns="http://schemas.openxmlformats.org/spreadsheetml/2006/main" count="147" uniqueCount="91">
  <si>
    <t>Concept/Lecture</t>
  </si>
  <si>
    <t>Assignment/Lab</t>
  </si>
  <si>
    <t>Guides/Review</t>
  </si>
  <si>
    <t>Test/Quiz</t>
  </si>
  <si>
    <t>Exam</t>
  </si>
  <si>
    <t>Training Unit/Chapter</t>
  </si>
  <si>
    <t>Session</t>
  </si>
  <si>
    <t>Lecture/Topic</t>
  </si>
  <si>
    <t>Content</t>
  </si>
  <si>
    <t>Delivery Type</t>
  </si>
  <si>
    <t>Training Materials / Logistics &amp; General Notes
(Required, For Reference, etc.)</t>
  </si>
  <si>
    <t>Topic 0</t>
  </si>
  <si>
    <t>Getting Started 
&lt;Introduction to the course&gt;</t>
  </si>
  <si>
    <t>&lt;Giới thiệu về các nội dung sẽ học, cách học, các hình thức kiểm tra, thời gian kiểm tra. Dựa trên nội dung Syllabus này&gt;</t>
  </si>
  <si>
    <t>Unit 01</t>
  </si>
  <si>
    <t>Topic 1</t>
  </si>
  <si>
    <t>Topic 2</t>
  </si>
  <si>
    <t>Topic 3</t>
  </si>
  <si>
    <t>Topic 4</t>
  </si>
  <si>
    <t>Topic 5</t>
  </si>
  <si>
    <t>Topic 6</t>
  </si>
  <si>
    <t>Topic 7</t>
  </si>
  <si>
    <t>Unit 02</t>
  </si>
  <si>
    <t>Topic 8</t>
  </si>
  <si>
    <t>Topic 9</t>
  </si>
  <si>
    <t>Topic 10</t>
  </si>
  <si>
    <t>Topic 11</t>
  </si>
  <si>
    <t>Topic 12</t>
  </si>
  <si>
    <t>Topic 13</t>
  </si>
  <si>
    <t>Topic 14</t>
  </si>
  <si>
    <t>Topic 15</t>
  </si>
  <si>
    <t>Topic 16</t>
  </si>
  <si>
    <t>Topic 17</t>
  </si>
  <si>
    <t>Topic 18</t>
  </si>
  <si>
    <t>Topic 19</t>
  </si>
  <si>
    <t>Unit 04</t>
  </si>
  <si>
    <t>Topic 20</t>
  </si>
  <si>
    <t>Topic 21</t>
  </si>
  <si>
    <t>Topic 22</t>
  </si>
  <si>
    <t>Topic 23</t>
  </si>
  <si>
    <t>Topic 24</t>
  </si>
  <si>
    <t>Topic 25</t>
  </si>
  <si>
    <t>Lab</t>
  </si>
  <si>
    <t>Assignment</t>
  </si>
  <si>
    <t>Unit 06</t>
  </si>
  <si>
    <t>Practice Part</t>
  </si>
  <si>
    <t>Mock Project</t>
  </si>
  <si>
    <t>Total</t>
  </si>
  <si>
    <t>AAAAAH/rVCM=</t>
  </si>
  <si>
    <t>AAAAAH/rVCQ=</t>
  </si>
  <si>
    <t>AAAAAH/rVCU=</t>
  </si>
  <si>
    <t>Duration (hours)</t>
  </si>
  <si>
    <t>Basic concept</t>
  </si>
  <si>
    <t xml:space="preserve">Basic Concepts </t>
  </si>
  <si>
    <t>Data Types, Evaluations, and Basic I/O Operations</t>
  </si>
  <si>
    <t xml:space="preserve">Flow Control – loops and conditional blocks </t>
  </si>
  <si>
    <t>Data Collections – Lists, Tuples, and Dictionaries</t>
  </si>
  <si>
    <t xml:space="preserve">Functions </t>
  </si>
  <si>
    <t xml:space="preserve">Modules and Packages </t>
  </si>
  <si>
    <t xml:space="preserve">Exceptions </t>
  </si>
  <si>
    <t xml:space="preserve">Strings </t>
  </si>
  <si>
    <t>Object-Oriented Programming</t>
  </si>
  <si>
    <t>Miscellaneous (List Comprehensions, Lambdas, Closures, and I/O Operations)</t>
  </si>
  <si>
    <t xml:space="preserve">File Processing </t>
  </si>
  <si>
    <t>Communicating with a program’s environment</t>
  </si>
  <si>
    <t>Python Enhancement Proposals</t>
  </si>
  <si>
    <t>Basic Concepts Testing</t>
  </si>
  <si>
    <t>Python for Web</t>
  </si>
  <si>
    <t>Python-MySQL Database Access</t>
  </si>
  <si>
    <t xml:space="preserve"> Working with RESTful APIs</t>
  </si>
  <si>
    <t>Python for DE</t>
  </si>
  <si>
    <t>Json, XML</t>
  </si>
  <si>
    <t>Regex, BeautifulSoup</t>
  </si>
  <si>
    <t>Python for Machine Learning</t>
  </si>
  <si>
    <t>Numpy, Pandas</t>
  </si>
  <si>
    <t>Matplotlib, Sklearn</t>
  </si>
  <si>
    <t xml:space="preserve">tkinter  </t>
  </si>
  <si>
    <t>GUI Programming And Testing</t>
  </si>
  <si>
    <t xml:space="preserve"> Testing principles and techniques</t>
  </si>
  <si>
    <t>Mock Project Interview</t>
  </si>
  <si>
    <t xml:space="preserve"> Unit 03</t>
  </si>
  <si>
    <t>Unit 05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</si>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</sst>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13739"/>
      </left>
      <right style="thin">
        <color rgb="FF313739"/>
      </right>
      <top style="thin">
        <color rgb="FF313739"/>
      </top>
      <bottom style="thin">
        <color rgb="FF31373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6" fillId="0" borderId="0" applyBorder="0" applyProtection="0"/>
    <xf numFmtId="0" fontId="4" fillId="0" borderId="0" applyBorder="0" applyProtection="0"/>
  </cellStyleXfs>
  <cellXfs count="3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justify" vertical="top"/>
    </xf>
    <xf numFmtId="0" fontId="1" fillId="3" borderId="4" xfId="0" applyFont="1" applyFill="1" applyBorder="1" applyAlignment="1">
      <alignment vertical="top" wrapText="1"/>
    </xf>
    <xf numFmtId="0" fontId="4" fillId="3" borderId="1" xfId="2" applyFont="1" applyFill="1" applyBorder="1" applyAlignment="1" applyProtection="1">
      <alignment vertical="top" wrapText="1"/>
    </xf>
    <xf numFmtId="0" fontId="3" fillId="2" borderId="1" xfId="0" applyFont="1" applyFill="1" applyBorder="1"/>
    <xf numFmtId="2" fontId="1" fillId="2" borderId="1" xfId="0" applyNumberFormat="1" applyFont="1" applyFill="1" applyBorder="1" applyAlignment="1">
      <alignment horizontal="center"/>
    </xf>
    <xf numFmtId="9" fontId="1" fillId="2" borderId="1" xfId="1" applyFont="1" applyFill="1" applyBorder="1" applyAlignment="1" applyProtection="1">
      <alignment horizontal="left"/>
    </xf>
    <xf numFmtId="164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left"/>
    </xf>
    <xf numFmtId="0" fontId="5" fillId="0" borderId="0" xfId="0" applyFont="1"/>
    <xf numFmtId="9" fontId="0" fillId="0" borderId="0" xfId="1" applyFont="1" applyBorder="1" applyAlignment="1" applyProtection="1"/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top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1373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uthor%20and%20rec%20of%20chang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hor and rec of chang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I51"/>
  <sheetViews>
    <sheetView tabSelected="1" zoomScaleNormal="100" workbookViewId="0">
      <pane ySplit="2" topLeftCell="A3" activePane="bottomLeft" state="frozen"/>
      <selection pane="bottomLeft" sqref="A1:H1"/>
    </sheetView>
  </sheetViews>
  <sheetFormatPr defaultColWidth="8.85546875" defaultRowHeight="12.75" x14ac:dyDescent="0.2"/>
  <cols>
    <col min="1" max="1" width="8.28515625" style="1"/>
    <col min="2" max="3" width="21.140625" style="1"/>
    <col min="4" max="4" width="18.7109375" style="2"/>
    <col min="5" max="5" width="44.28515625" style="1"/>
    <col min="6" max="6" width="16.140625" style="1"/>
    <col min="7" max="7" width="8.85546875" style="3"/>
    <col min="8" max="8" width="44.28515625" style="3"/>
    <col min="9" max="1023" width="8.42578125" style="1"/>
  </cols>
  <sheetData>
    <row r="1" spans="1:8" ht="36.75" customHeight="1" x14ac:dyDescent="0.2">
      <c r="A1" s="25" t="s">
        <v>90</v>
      </c>
      <c r="B1" s="25"/>
      <c r="C1" s="25"/>
      <c r="D1" s="25"/>
      <c r="E1" s="25"/>
      <c r="F1" s="25"/>
      <c r="G1" s="25"/>
      <c r="H1" s="25"/>
    </row>
    <row r="2" spans="1:8" ht="32.25" customHeight="1" x14ac:dyDescent="0.2">
      <c r="A2" s="30" t="s">
        <v>5</v>
      </c>
      <c r="B2" s="30"/>
      <c r="C2" s="5" t="s">
        <v>6</v>
      </c>
      <c r="D2" s="6" t="s">
        <v>7</v>
      </c>
      <c r="E2" s="4" t="s">
        <v>8</v>
      </c>
      <c r="F2" s="6" t="s">
        <v>9</v>
      </c>
      <c r="G2" s="6" t="s">
        <v>51</v>
      </c>
      <c r="H2" s="6" t="s">
        <v>10</v>
      </c>
    </row>
    <row r="3" spans="1:8" ht="43.5" customHeight="1" x14ac:dyDescent="0.2">
      <c r="A3" s="7"/>
      <c r="B3" s="7"/>
      <c r="C3" s="7"/>
      <c r="D3" s="8" t="s">
        <v>11</v>
      </c>
      <c r="E3" s="9" t="s">
        <v>12</v>
      </c>
      <c r="F3" s="10" t="s">
        <v>0</v>
      </c>
      <c r="G3" s="11">
        <v>0.5</v>
      </c>
      <c r="H3" s="13" t="s">
        <v>13</v>
      </c>
    </row>
    <row r="4" spans="1:8" ht="16.7" customHeight="1" x14ac:dyDescent="0.2">
      <c r="A4" s="27" t="s">
        <v>14</v>
      </c>
      <c r="B4" s="27" t="s">
        <v>52</v>
      </c>
      <c r="C4" s="27" t="s">
        <v>82</v>
      </c>
      <c r="D4" s="8" t="s">
        <v>15</v>
      </c>
      <c r="E4" s="14" t="s">
        <v>53</v>
      </c>
      <c r="F4" s="10" t="s">
        <v>0</v>
      </c>
      <c r="G4" s="11">
        <v>0.5</v>
      </c>
      <c r="H4" s="13"/>
    </row>
    <row r="5" spans="1:8" ht="16.7" customHeight="1" x14ac:dyDescent="0.2">
      <c r="A5" s="29"/>
      <c r="B5" s="29"/>
      <c r="C5" s="27"/>
      <c r="D5" s="8" t="s">
        <v>16</v>
      </c>
      <c r="E5" s="14" t="s">
        <v>54</v>
      </c>
      <c r="F5" s="10" t="s">
        <v>0</v>
      </c>
      <c r="G5" s="11">
        <v>1</v>
      </c>
      <c r="H5" s="13"/>
    </row>
    <row r="6" spans="1:8" ht="16.7" customHeight="1" x14ac:dyDescent="0.2">
      <c r="A6" s="29"/>
      <c r="B6" s="29"/>
      <c r="C6" s="27"/>
      <c r="D6" s="8" t="s">
        <v>17</v>
      </c>
      <c r="E6" s="14" t="s">
        <v>55</v>
      </c>
      <c r="F6" s="10" t="s">
        <v>0</v>
      </c>
      <c r="G6" s="11">
        <v>1</v>
      </c>
      <c r="H6" s="13"/>
    </row>
    <row r="7" spans="1:8" ht="16.7" customHeight="1" x14ac:dyDescent="0.2">
      <c r="A7" s="29"/>
      <c r="B7" s="29"/>
      <c r="C7" s="27"/>
      <c r="D7" s="8" t="s">
        <v>18</v>
      </c>
      <c r="E7" s="14" t="s">
        <v>56</v>
      </c>
      <c r="F7" s="10" t="s">
        <v>0</v>
      </c>
      <c r="G7" s="11">
        <v>1</v>
      </c>
      <c r="H7" s="13"/>
    </row>
    <row r="8" spans="1:8" ht="16.7" customHeight="1" x14ac:dyDescent="0.2">
      <c r="A8" s="29"/>
      <c r="B8" s="29"/>
      <c r="C8" s="27"/>
      <c r="D8" s="8" t="s">
        <v>19</v>
      </c>
      <c r="E8" s="14" t="s">
        <v>57</v>
      </c>
      <c r="F8" s="10" t="s">
        <v>0</v>
      </c>
      <c r="G8" s="11">
        <v>0.5</v>
      </c>
      <c r="H8" s="13"/>
    </row>
    <row r="9" spans="1:8" ht="16.7" customHeight="1" x14ac:dyDescent="0.2">
      <c r="A9" s="29"/>
      <c r="B9" s="29"/>
      <c r="C9" s="27"/>
      <c r="D9" s="8" t="s">
        <v>1</v>
      </c>
      <c r="E9" s="9"/>
      <c r="F9" s="34" t="s">
        <v>1</v>
      </c>
      <c r="G9" s="11">
        <v>2</v>
      </c>
      <c r="H9" s="13"/>
    </row>
    <row r="10" spans="1:8" ht="15" customHeight="1" x14ac:dyDescent="0.2">
      <c r="A10" s="29"/>
      <c r="B10" s="29"/>
      <c r="C10" s="27" t="s">
        <v>83</v>
      </c>
      <c r="D10" s="23" t="s">
        <v>20</v>
      </c>
      <c r="E10" s="14" t="s">
        <v>58</v>
      </c>
      <c r="F10" s="10" t="s">
        <v>0</v>
      </c>
      <c r="G10" s="11">
        <v>0.5</v>
      </c>
      <c r="H10" s="13"/>
    </row>
    <row r="11" spans="1:8" ht="14.25" customHeight="1" x14ac:dyDescent="0.2">
      <c r="A11" s="29"/>
      <c r="B11" s="29"/>
      <c r="C11" s="29"/>
      <c r="D11" s="23" t="s">
        <v>21</v>
      </c>
      <c r="E11" s="9" t="s">
        <v>59</v>
      </c>
      <c r="F11" s="10" t="s">
        <v>0</v>
      </c>
      <c r="G11" s="11">
        <v>1</v>
      </c>
      <c r="H11" s="13"/>
    </row>
    <row r="12" spans="1:8" ht="14.25" customHeight="1" x14ac:dyDescent="0.2">
      <c r="A12" s="29"/>
      <c r="B12" s="29"/>
      <c r="C12" s="29"/>
      <c r="D12" s="23" t="s">
        <v>23</v>
      </c>
      <c r="E12" s="14" t="s">
        <v>60</v>
      </c>
      <c r="F12" s="10" t="s">
        <v>0</v>
      </c>
      <c r="G12" s="11">
        <v>1</v>
      </c>
      <c r="H12" s="13"/>
    </row>
    <row r="13" spans="1:8" ht="14.25" customHeight="1" x14ac:dyDescent="0.2">
      <c r="A13" s="29"/>
      <c r="B13" s="29"/>
      <c r="C13" s="29"/>
      <c r="D13" s="23" t="s">
        <v>24</v>
      </c>
      <c r="E13" s="14" t="s">
        <v>61</v>
      </c>
      <c r="F13" s="10" t="s">
        <v>0</v>
      </c>
      <c r="G13" s="11">
        <v>1</v>
      </c>
      <c r="H13" s="13"/>
    </row>
    <row r="14" spans="1:8" ht="15" customHeight="1" x14ac:dyDescent="0.2">
      <c r="A14" s="29"/>
      <c r="B14" s="29"/>
      <c r="C14" s="29"/>
      <c r="D14" s="23" t="s">
        <v>25</v>
      </c>
      <c r="E14" s="14" t="s">
        <v>62</v>
      </c>
      <c r="F14" s="10" t="s">
        <v>0</v>
      </c>
      <c r="G14" s="11">
        <v>0.5</v>
      </c>
      <c r="H14" s="13"/>
    </row>
    <row r="15" spans="1:8" ht="14.25" customHeight="1" x14ac:dyDescent="0.2">
      <c r="A15" s="29"/>
      <c r="B15" s="29"/>
      <c r="C15" s="33"/>
      <c r="D15" s="8" t="s">
        <v>1</v>
      </c>
      <c r="E15" s="9"/>
      <c r="F15" s="34" t="s">
        <v>1</v>
      </c>
      <c r="G15" s="11">
        <v>2</v>
      </c>
      <c r="H15" s="13"/>
    </row>
    <row r="16" spans="1:8" ht="13.7" customHeight="1" x14ac:dyDescent="0.2">
      <c r="A16" s="29"/>
      <c r="B16" s="29"/>
      <c r="C16" s="27" t="s">
        <v>84</v>
      </c>
      <c r="D16" s="8" t="s">
        <v>26</v>
      </c>
      <c r="E16" s="9" t="s">
        <v>63</v>
      </c>
      <c r="F16" s="10" t="s">
        <v>0</v>
      </c>
      <c r="G16" s="11">
        <v>1</v>
      </c>
      <c r="H16" s="13"/>
    </row>
    <row r="17" spans="1:8" ht="14.25" customHeight="1" x14ac:dyDescent="0.2">
      <c r="A17" s="29"/>
      <c r="B17" s="29"/>
      <c r="C17" s="27"/>
      <c r="D17" s="24" t="s">
        <v>27</v>
      </c>
      <c r="E17" s="9" t="s">
        <v>64</v>
      </c>
      <c r="F17" s="10" t="s">
        <v>0</v>
      </c>
      <c r="G17" s="11">
        <v>0.5</v>
      </c>
      <c r="H17" s="13"/>
    </row>
    <row r="18" spans="1:8" ht="14.25" customHeight="1" x14ac:dyDescent="0.2">
      <c r="A18" s="29"/>
      <c r="B18" s="29"/>
      <c r="C18" s="27"/>
      <c r="D18" s="24" t="s">
        <v>28</v>
      </c>
      <c r="E18" s="9" t="s">
        <v>65</v>
      </c>
      <c r="F18" s="10" t="s">
        <v>0</v>
      </c>
      <c r="G18" s="11">
        <v>1</v>
      </c>
      <c r="H18" s="13"/>
    </row>
    <row r="19" spans="1:8" ht="14.25" customHeight="1" x14ac:dyDescent="0.2">
      <c r="A19" s="29"/>
      <c r="B19" s="29"/>
      <c r="C19" s="27"/>
      <c r="D19" s="24" t="s">
        <v>29</v>
      </c>
      <c r="E19" s="9" t="s">
        <v>45</v>
      </c>
      <c r="F19" s="10" t="s">
        <v>0</v>
      </c>
      <c r="G19" s="11">
        <v>1</v>
      </c>
      <c r="H19" s="13"/>
    </row>
    <row r="20" spans="1:8" ht="14.25" customHeight="1" x14ac:dyDescent="0.2">
      <c r="A20" s="29"/>
      <c r="B20" s="29"/>
      <c r="C20" s="27"/>
      <c r="D20" s="24" t="s">
        <v>30</v>
      </c>
      <c r="E20" s="9" t="s">
        <v>66</v>
      </c>
      <c r="F20" s="10" t="s">
        <v>3</v>
      </c>
      <c r="G20" s="11">
        <v>0.5</v>
      </c>
      <c r="H20" s="13"/>
    </row>
    <row r="21" spans="1:8" ht="14.25" customHeight="1" x14ac:dyDescent="0.2">
      <c r="A21" s="29"/>
      <c r="B21" s="29"/>
      <c r="C21" s="27"/>
      <c r="D21" s="8" t="s">
        <v>1</v>
      </c>
      <c r="E21" s="9"/>
      <c r="F21" s="34" t="s">
        <v>1</v>
      </c>
      <c r="G21" s="11">
        <v>2</v>
      </c>
      <c r="H21" s="13"/>
    </row>
    <row r="22" spans="1:8" ht="15" customHeight="1" x14ac:dyDescent="0.2">
      <c r="A22" s="28" t="s">
        <v>22</v>
      </c>
      <c r="B22" s="26" t="s">
        <v>67</v>
      </c>
      <c r="C22" s="26" t="s">
        <v>85</v>
      </c>
      <c r="D22" s="8" t="s">
        <v>31</v>
      </c>
      <c r="E22" s="9" t="s">
        <v>68</v>
      </c>
      <c r="F22" s="10" t="s">
        <v>0</v>
      </c>
      <c r="G22" s="12">
        <v>1</v>
      </c>
      <c r="H22" s="9"/>
    </row>
    <row r="23" spans="1:8" ht="15" customHeight="1" x14ac:dyDescent="0.2">
      <c r="A23" s="28"/>
      <c r="B23" s="26"/>
      <c r="C23" s="26"/>
      <c r="D23" s="8" t="s">
        <v>42</v>
      </c>
      <c r="E23" s="9"/>
      <c r="F23" s="10" t="s">
        <v>1</v>
      </c>
      <c r="G23" s="12">
        <v>1</v>
      </c>
      <c r="H23" s="15"/>
    </row>
    <row r="24" spans="1:8" ht="15" customHeight="1" x14ac:dyDescent="0.2">
      <c r="A24" s="28"/>
      <c r="B24" s="26"/>
      <c r="C24" s="26"/>
      <c r="D24" s="24" t="s">
        <v>32</v>
      </c>
      <c r="E24" s="9" t="s">
        <v>69</v>
      </c>
      <c r="F24" s="10" t="s">
        <v>0</v>
      </c>
      <c r="G24" s="12">
        <v>1</v>
      </c>
      <c r="H24" s="15"/>
    </row>
    <row r="25" spans="1:8" ht="15" customHeight="1" x14ac:dyDescent="0.2">
      <c r="A25" s="28"/>
      <c r="B25" s="26"/>
      <c r="C25" s="26"/>
      <c r="D25" s="24" t="s">
        <v>42</v>
      </c>
      <c r="E25" s="9"/>
      <c r="F25" s="34" t="s">
        <v>1</v>
      </c>
      <c r="G25" s="12">
        <v>1</v>
      </c>
      <c r="H25" s="15"/>
    </row>
    <row r="26" spans="1:8" ht="15" customHeight="1" x14ac:dyDescent="0.2">
      <c r="A26" s="28"/>
      <c r="B26" s="26"/>
      <c r="C26" s="26"/>
      <c r="D26" s="8" t="s">
        <v>43</v>
      </c>
      <c r="E26" s="9"/>
      <c r="F26" s="34" t="s">
        <v>1</v>
      </c>
      <c r="G26" s="12">
        <v>4</v>
      </c>
      <c r="H26" s="9"/>
    </row>
    <row r="27" spans="1:8" ht="12.75" customHeight="1" x14ac:dyDescent="0.2">
      <c r="A27" s="27" t="s">
        <v>80</v>
      </c>
      <c r="B27" s="31" t="s">
        <v>70</v>
      </c>
      <c r="C27" s="26" t="s">
        <v>86</v>
      </c>
      <c r="D27" s="8" t="s">
        <v>33</v>
      </c>
      <c r="E27" s="9" t="s">
        <v>71</v>
      </c>
      <c r="F27" s="10" t="s">
        <v>0</v>
      </c>
      <c r="G27" s="12">
        <v>1</v>
      </c>
      <c r="H27" s="10"/>
    </row>
    <row r="28" spans="1:8" x14ac:dyDescent="0.2">
      <c r="A28" s="29"/>
      <c r="B28" s="31"/>
      <c r="C28" s="31"/>
      <c r="D28" s="8" t="s">
        <v>42</v>
      </c>
      <c r="E28" s="9"/>
      <c r="F28" s="34" t="s">
        <v>1</v>
      </c>
      <c r="G28" s="12">
        <v>1</v>
      </c>
      <c r="H28" s="9"/>
    </row>
    <row r="29" spans="1:8" x14ac:dyDescent="0.2">
      <c r="A29" s="29"/>
      <c r="B29" s="31"/>
      <c r="C29" s="31"/>
      <c r="D29" s="8" t="s">
        <v>34</v>
      </c>
      <c r="E29" s="9" t="s">
        <v>72</v>
      </c>
      <c r="F29" s="10" t="s">
        <v>0</v>
      </c>
      <c r="G29" s="12">
        <v>1</v>
      </c>
      <c r="H29" s="9"/>
    </row>
    <row r="30" spans="1:8" x14ac:dyDescent="0.2">
      <c r="A30" s="29"/>
      <c r="B30" s="31"/>
      <c r="C30" s="31"/>
      <c r="D30" s="8" t="s">
        <v>42</v>
      </c>
      <c r="E30" s="9"/>
      <c r="F30" s="10" t="s">
        <v>0</v>
      </c>
      <c r="G30" s="12">
        <v>1</v>
      </c>
      <c r="H30" s="9"/>
    </row>
    <row r="31" spans="1:8" x14ac:dyDescent="0.2">
      <c r="A31" s="33"/>
      <c r="B31" s="31"/>
      <c r="C31" s="26"/>
      <c r="D31" s="8" t="s">
        <v>43</v>
      </c>
      <c r="E31" s="9"/>
      <c r="F31" s="34" t="s">
        <v>1</v>
      </c>
      <c r="G31" s="12">
        <v>4</v>
      </c>
      <c r="H31" s="10"/>
    </row>
    <row r="32" spans="1:8" ht="12.75" customHeight="1" x14ac:dyDescent="0.2">
      <c r="A32" s="27" t="s">
        <v>35</v>
      </c>
      <c r="B32" s="26" t="s">
        <v>73</v>
      </c>
      <c r="C32" s="26" t="s">
        <v>87</v>
      </c>
      <c r="D32" s="8" t="s">
        <v>36</v>
      </c>
      <c r="E32" s="9" t="s">
        <v>74</v>
      </c>
      <c r="F32" s="10" t="s">
        <v>0</v>
      </c>
      <c r="G32" s="12">
        <v>1</v>
      </c>
      <c r="H32" s="10"/>
    </row>
    <row r="33" spans="1:8" x14ac:dyDescent="0.2">
      <c r="A33" s="29"/>
      <c r="B33" s="26"/>
      <c r="C33" s="26"/>
      <c r="D33" s="8" t="s">
        <v>42</v>
      </c>
      <c r="E33" s="9"/>
      <c r="F33" s="34" t="s">
        <v>1</v>
      </c>
      <c r="G33" s="12">
        <v>1</v>
      </c>
      <c r="H33" s="10"/>
    </row>
    <row r="34" spans="1:8" x14ac:dyDescent="0.2">
      <c r="A34" s="29"/>
      <c r="B34" s="26"/>
      <c r="C34" s="26"/>
      <c r="D34" s="8" t="s">
        <v>37</v>
      </c>
      <c r="E34" s="9" t="s">
        <v>75</v>
      </c>
      <c r="F34" s="10" t="s">
        <v>0</v>
      </c>
      <c r="G34" s="12">
        <v>1</v>
      </c>
      <c r="H34" s="10"/>
    </row>
    <row r="35" spans="1:8" x14ac:dyDescent="0.2">
      <c r="A35" s="29"/>
      <c r="B35" s="26"/>
      <c r="C35" s="26"/>
      <c r="D35" s="8" t="s">
        <v>42</v>
      </c>
      <c r="E35" s="9"/>
      <c r="F35" s="34" t="s">
        <v>1</v>
      </c>
      <c r="G35" s="12">
        <v>1</v>
      </c>
      <c r="H35" s="10"/>
    </row>
    <row r="36" spans="1:8" x14ac:dyDescent="0.2">
      <c r="A36" s="33"/>
      <c r="B36" s="26"/>
      <c r="C36" s="26"/>
      <c r="D36" s="8" t="s">
        <v>43</v>
      </c>
      <c r="E36" s="9"/>
      <c r="F36" s="34" t="s">
        <v>1</v>
      </c>
      <c r="G36" s="12">
        <v>4</v>
      </c>
      <c r="H36" s="10"/>
    </row>
    <row r="37" spans="1:8" ht="12.75" customHeight="1" x14ac:dyDescent="0.2">
      <c r="A37" s="27" t="s">
        <v>81</v>
      </c>
      <c r="B37" s="26" t="s">
        <v>77</v>
      </c>
      <c r="C37" s="26" t="s">
        <v>88</v>
      </c>
      <c r="D37" s="8" t="s">
        <v>38</v>
      </c>
      <c r="E37" s="9" t="s">
        <v>76</v>
      </c>
      <c r="F37" s="10" t="s">
        <v>0</v>
      </c>
      <c r="G37" s="12">
        <v>1</v>
      </c>
      <c r="H37" s="10"/>
    </row>
    <row r="38" spans="1:8" x14ac:dyDescent="0.2">
      <c r="A38" s="29"/>
      <c r="B38" s="26"/>
      <c r="C38" s="26"/>
      <c r="D38" s="8" t="s">
        <v>42</v>
      </c>
      <c r="E38" s="9"/>
      <c r="F38" s="34" t="s">
        <v>1</v>
      </c>
      <c r="G38" s="12">
        <v>1</v>
      </c>
      <c r="H38" s="10"/>
    </row>
    <row r="39" spans="1:8" x14ac:dyDescent="0.2">
      <c r="A39" s="29"/>
      <c r="B39" s="26"/>
      <c r="C39" s="26"/>
      <c r="D39" s="8" t="s">
        <v>39</v>
      </c>
      <c r="E39" s="9" t="s">
        <v>78</v>
      </c>
      <c r="F39" s="10" t="s">
        <v>0</v>
      </c>
      <c r="G39" s="12">
        <v>1</v>
      </c>
      <c r="H39" s="10"/>
    </row>
    <row r="40" spans="1:8" x14ac:dyDescent="0.2">
      <c r="A40" s="29"/>
      <c r="B40" s="26"/>
      <c r="C40" s="26"/>
      <c r="D40" s="24" t="s">
        <v>42</v>
      </c>
      <c r="E40" s="9"/>
      <c r="F40" s="34" t="s">
        <v>1</v>
      </c>
      <c r="G40" s="12">
        <v>1</v>
      </c>
      <c r="H40" s="10"/>
    </row>
    <row r="41" spans="1:8" x14ac:dyDescent="0.2">
      <c r="A41" s="33"/>
      <c r="B41" s="26"/>
      <c r="C41" s="26"/>
      <c r="D41" s="8" t="s">
        <v>43</v>
      </c>
      <c r="E41" s="9"/>
      <c r="F41" s="34" t="s">
        <v>1</v>
      </c>
      <c r="G41" s="12">
        <v>4</v>
      </c>
      <c r="H41" s="10"/>
    </row>
    <row r="42" spans="1:8" ht="12.75" customHeight="1" x14ac:dyDescent="0.2">
      <c r="A42" s="27" t="s">
        <v>44</v>
      </c>
      <c r="B42" s="31" t="s">
        <v>46</v>
      </c>
      <c r="C42" s="26" t="s">
        <v>89</v>
      </c>
      <c r="D42" s="8" t="s">
        <v>40</v>
      </c>
      <c r="E42" s="9" t="s">
        <v>46</v>
      </c>
      <c r="F42" s="10" t="s">
        <v>46</v>
      </c>
      <c r="G42" s="12">
        <v>0</v>
      </c>
      <c r="H42" s="10"/>
    </row>
    <row r="43" spans="1:8" x14ac:dyDescent="0.2">
      <c r="A43" s="27"/>
      <c r="B43" s="32"/>
      <c r="C43" s="26"/>
      <c r="D43" s="24" t="s">
        <v>41</v>
      </c>
      <c r="E43" s="9" t="s">
        <v>79</v>
      </c>
      <c r="F43" s="10" t="s">
        <v>46</v>
      </c>
      <c r="G43" s="12">
        <v>4</v>
      </c>
      <c r="H43" s="10"/>
    </row>
    <row r="44" spans="1:8" x14ac:dyDescent="0.2">
      <c r="F44"/>
      <c r="G44"/>
      <c r="H44"/>
    </row>
    <row r="45" spans="1:8" x14ac:dyDescent="0.2">
      <c r="F45" s="16" t="s">
        <v>0</v>
      </c>
      <c r="G45" s="17">
        <f t="shared" ref="G45:G50" si="0">SUMIF(F$3:F$43,F45,G$3:G$43)</f>
        <v>21</v>
      </c>
      <c r="H45" s="18">
        <f t="shared" ref="H45:H50" si="1">G45/$G$51</f>
        <v>0.38532110091743121</v>
      </c>
    </row>
    <row r="46" spans="1:8" x14ac:dyDescent="0.2">
      <c r="F46" s="16" t="s">
        <v>1</v>
      </c>
      <c r="G46" s="17">
        <f t="shared" si="0"/>
        <v>29</v>
      </c>
      <c r="H46" s="18">
        <f t="shared" si="1"/>
        <v>0.5321100917431193</v>
      </c>
    </row>
    <row r="47" spans="1:8" x14ac:dyDescent="0.2">
      <c r="F47" s="16" t="s">
        <v>2</v>
      </c>
      <c r="G47" s="17">
        <f t="shared" si="0"/>
        <v>0</v>
      </c>
      <c r="H47" s="18">
        <f t="shared" si="1"/>
        <v>0</v>
      </c>
    </row>
    <row r="48" spans="1:8" x14ac:dyDescent="0.2">
      <c r="F48" s="16" t="s">
        <v>3</v>
      </c>
      <c r="G48" s="17">
        <f t="shared" si="0"/>
        <v>0.5</v>
      </c>
      <c r="H48" s="18">
        <f t="shared" si="1"/>
        <v>9.1743119266055051E-3</v>
      </c>
    </row>
    <row r="49" spans="6:8" x14ac:dyDescent="0.2">
      <c r="F49" s="16" t="s">
        <v>46</v>
      </c>
      <c r="G49" s="17">
        <f t="shared" si="0"/>
        <v>4</v>
      </c>
      <c r="H49" s="18">
        <f t="shared" si="1"/>
        <v>7.3394495412844041E-2</v>
      </c>
    </row>
    <row r="50" spans="6:8" x14ac:dyDescent="0.2">
      <c r="F50" s="16" t="s">
        <v>4</v>
      </c>
      <c r="G50" s="17">
        <f t="shared" si="0"/>
        <v>0</v>
      </c>
      <c r="H50" s="18">
        <f t="shared" si="1"/>
        <v>0</v>
      </c>
    </row>
    <row r="51" spans="6:8" x14ac:dyDescent="0.2">
      <c r="F51" s="16" t="s">
        <v>47</v>
      </c>
      <c r="G51" s="19">
        <f>SUM(G45:G50)</f>
        <v>54.5</v>
      </c>
      <c r="H51" s="20">
        <f>SUM(H45:H50)</f>
        <v>1</v>
      </c>
    </row>
  </sheetData>
  <autoFilter ref="A2:H43" xr:uid="{00000000-0009-0000-0000-000001000000}"/>
  <mergeCells count="22">
    <mergeCell ref="A1:H1"/>
    <mergeCell ref="A2:B2"/>
    <mergeCell ref="C4:C9"/>
    <mergeCell ref="A42:A43"/>
    <mergeCell ref="B42:B43"/>
    <mergeCell ref="C42:C43"/>
    <mergeCell ref="A27:A31"/>
    <mergeCell ref="B27:B31"/>
    <mergeCell ref="C27:C31"/>
    <mergeCell ref="A32:A36"/>
    <mergeCell ref="B32:B36"/>
    <mergeCell ref="C32:C36"/>
    <mergeCell ref="A4:A21"/>
    <mergeCell ref="C10:C15"/>
    <mergeCell ref="A37:A41"/>
    <mergeCell ref="B37:B41"/>
    <mergeCell ref="C37:C41"/>
    <mergeCell ref="C16:C21"/>
    <mergeCell ref="A22:A26"/>
    <mergeCell ref="B22:B26"/>
    <mergeCell ref="C22:C26"/>
    <mergeCell ref="B4:B21"/>
  </mergeCells>
  <phoneticPr fontId="7" type="noConversion"/>
  <dataValidations disablePrompts="1" count="1">
    <dataValidation type="list" allowBlank="1" showErrorMessage="1" sqref="F3:F43" xr:uid="{00000000-0002-0000-0100-000000000000}">
      <formula1>"Concept/Lecture,Assignment/Lab,Test/Quiz,Exam,Guides/Review,Seminar/Workshop,Class Meeting,Mock Project"</formula1>
      <formula2>0</formula2>
    </dataValidation>
  </dataValidations>
  <pageMargins left="0.44027777777777799" right="0.70833333333333304" top="0.47013888888888899" bottom="0.55000000000000004" header="0.51180555555555496" footer="0.31527777777777799"/>
  <pageSetup firstPageNumber="0" fitToHeight="2" orientation="portrait" r:id="rId1"/>
  <headerFooter>
    <oddFooter>&amp;L18e-BM/DT/FSOFT v1/1&amp;CInternal use&amp;R&amp;P/&amp;N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5"/>
  <sheetViews>
    <sheetView zoomScaleNormal="100" workbookViewId="0">
      <selection activeCell="AL4" sqref="AL4"/>
    </sheetView>
  </sheetViews>
  <sheetFormatPr defaultColWidth="8.85546875" defaultRowHeight="12.75" x14ac:dyDescent="0.2"/>
  <cols>
    <col min="1" max="1025" width="8.28515625"/>
  </cols>
  <sheetData>
    <row r="1" spans="1:256" x14ac:dyDescent="0.2">
      <c r="A1" t="e">
        <f>IF(#REF!,"AAAAAH7b/wA=",0)</f>
        <v>#REF!</v>
      </c>
      <c r="B1" t="e">
        <f>AND(#REF!,"AAAAAH7b/wE=")</f>
        <v>#REF!</v>
      </c>
      <c r="C1" t="e">
        <f>AND(#REF!,"AAAAAH7b/wI=")</f>
        <v>#REF!</v>
      </c>
      <c r="D1" t="e">
        <f>AND(#REF!,"AAAAAH7b/wM=")</f>
        <v>#REF!</v>
      </c>
      <c r="E1" t="e">
        <f>AND(#REF!,"AAAAAH7b/wQ=")</f>
        <v>#REF!</v>
      </c>
      <c r="F1" t="e">
        <f>AND(#REF!,"AAAAAH7b/wU=")</f>
        <v>#REF!</v>
      </c>
      <c r="G1" t="e">
        <f>AND(#REF!,"AAAAAH7b/wY=")</f>
        <v>#REF!</v>
      </c>
      <c r="H1" t="e">
        <f>AND(#REF!,"AAAAAH7b/wc=")</f>
        <v>#REF!</v>
      </c>
      <c r="I1" t="e">
        <f>IF(#REF!,"AAAAAH7b/wg=",0)</f>
        <v>#REF!</v>
      </c>
      <c r="J1" t="e">
        <f>AND(#REF!,"AAAAAH7b/wk=")</f>
        <v>#REF!</v>
      </c>
      <c r="K1" t="e">
        <f>AND(#REF!,"AAAAAH7b/wo=")</f>
        <v>#REF!</v>
      </c>
      <c r="L1" t="e">
        <f>AND(#REF!,"AAAAAH7b/ws=")</f>
        <v>#REF!</v>
      </c>
      <c r="M1" t="e">
        <f>AND(#REF!,"AAAAAH7b/ww=")</f>
        <v>#REF!</v>
      </c>
      <c r="N1" t="e">
        <f>AND(#REF!,"AAAAAH7b/w0=")</f>
        <v>#REF!</v>
      </c>
      <c r="O1" t="e">
        <f>AND(#REF!,"AAAAAH7b/w4=")</f>
        <v>#REF!</v>
      </c>
      <c r="P1" t="e">
        <f>AND(#REF!,"AAAAAH7b/w8=")</f>
        <v>#REF!</v>
      </c>
      <c r="Q1" t="e">
        <f>IF(#REF!,"AAAAAH7b/xA=",0)</f>
        <v>#REF!</v>
      </c>
      <c r="R1" t="e">
        <f>AND(#REF!,"AAAAAH7b/xE=")</f>
        <v>#REF!</v>
      </c>
      <c r="S1" t="e">
        <f>AND(#REF!,"AAAAAH7b/xI=")</f>
        <v>#REF!</v>
      </c>
      <c r="T1" t="e">
        <f>AND(#REF!,"AAAAAH7b/xM=")</f>
        <v>#REF!</v>
      </c>
      <c r="U1" t="e">
        <f>AND(#REF!,"AAAAAH7b/xQ=")</f>
        <v>#REF!</v>
      </c>
      <c r="V1" t="e">
        <f>AND(#REF!,"AAAAAH7b/xU=")</f>
        <v>#REF!</v>
      </c>
      <c r="W1" t="e">
        <f>AND(#REF!,"AAAAAH7b/xY=")</f>
        <v>#REF!</v>
      </c>
      <c r="X1" t="e">
        <f>AND(#REF!,"AAAAAH7b/xc=")</f>
        <v>#REF!</v>
      </c>
      <c r="Y1" t="e">
        <f>IF(#REF!,"AAAAAH7b/xg=",0)</f>
        <v>#REF!</v>
      </c>
      <c r="Z1" t="e">
        <f>AND(#REF!,"AAAAAH7b/xk=")</f>
        <v>#REF!</v>
      </c>
      <c r="AA1" t="e">
        <f>AND(#REF!,"AAAAAH7b/xo=")</f>
        <v>#REF!</v>
      </c>
      <c r="AB1" t="e">
        <f>AND(#REF!,"AAAAAH7b/xs=")</f>
        <v>#REF!</v>
      </c>
      <c r="AC1" t="e">
        <f>AND(#REF!,"AAAAAH7b/xw=")</f>
        <v>#REF!</v>
      </c>
      <c r="AD1" t="e">
        <f>AND(#REF!,"AAAAAH7b/x0=")</f>
        <v>#REF!</v>
      </c>
      <c r="AE1" t="e">
        <f>AND(#REF!,"AAAAAH7b/x4=")</f>
        <v>#REF!</v>
      </c>
      <c r="AF1" t="e">
        <f>AND(#REF!,"AAAAAH7b/x8=")</f>
        <v>#REF!</v>
      </c>
      <c r="AG1" t="e">
        <f>IF(#REF!,"AAAAAH7b/yA=",0)</f>
        <v>#REF!</v>
      </c>
      <c r="AH1" t="e">
        <f>AND(#REF!,"AAAAAH7b/yE=")</f>
        <v>#REF!</v>
      </c>
      <c r="AI1" t="e">
        <f>AND(#REF!,"AAAAAH7b/yI=")</f>
        <v>#REF!</v>
      </c>
      <c r="AJ1" t="e">
        <f>AND(#REF!,"AAAAAH7b/yM=")</f>
        <v>#REF!</v>
      </c>
      <c r="AK1" t="e">
        <f>AND(#REF!,"AAAAAH7b/yQ=")</f>
        <v>#REF!</v>
      </c>
      <c r="AL1" t="e">
        <f>AND(#REF!,"AAAAAH7b/yU=")</f>
        <v>#REF!</v>
      </c>
      <c r="AM1" t="e">
        <f>AND(#REF!,"AAAAAH7b/yY=")</f>
        <v>#REF!</v>
      </c>
      <c r="AN1" t="e">
        <f>AND(#REF!,"AAAAAH7b/yc=")</f>
        <v>#REF!</v>
      </c>
      <c r="AO1" t="e">
        <f>IF(#REF!,"AAAAAH7b/yg=",0)</f>
        <v>#REF!</v>
      </c>
      <c r="AP1" t="e">
        <f>AND(#REF!,"AAAAAH7b/yk=")</f>
        <v>#REF!</v>
      </c>
      <c r="AQ1" t="e">
        <f>AND(#REF!,"AAAAAH7b/yo=")</f>
        <v>#REF!</v>
      </c>
      <c r="AR1" t="e">
        <f>AND(#REF!,"AAAAAH7b/ys=")</f>
        <v>#REF!</v>
      </c>
      <c r="AS1" t="e">
        <f>AND(#REF!,"AAAAAH7b/yw=")</f>
        <v>#REF!</v>
      </c>
      <c r="AT1" t="e">
        <f>AND(#REF!,"AAAAAH7b/y0=")</f>
        <v>#REF!</v>
      </c>
      <c r="AU1" t="e">
        <f>AND(#REF!,"AAAAAH7b/y4=")</f>
        <v>#REF!</v>
      </c>
      <c r="AV1" t="e">
        <f>AND(#REF!,"AAAAAH7b/y8=")</f>
        <v>#REF!</v>
      </c>
      <c r="AW1" t="e">
        <f>IF(#REF!,"AAAAAH7b/zA=",0)</f>
        <v>#REF!</v>
      </c>
      <c r="AX1" t="e">
        <f>AND(#REF!,"AAAAAH7b/zE=")</f>
        <v>#REF!</v>
      </c>
      <c r="AY1" t="e">
        <f>AND(#REF!,"AAAAAH7b/zI=")</f>
        <v>#REF!</v>
      </c>
      <c r="AZ1" t="e">
        <f>AND(#REF!,"AAAAAH7b/zM=")</f>
        <v>#REF!</v>
      </c>
      <c r="BA1" t="e">
        <f>AND(#REF!,"AAAAAH7b/zQ=")</f>
        <v>#REF!</v>
      </c>
      <c r="BB1" t="e">
        <f>AND(#REF!,"AAAAAH7b/zU=")</f>
        <v>#REF!</v>
      </c>
      <c r="BC1" t="e">
        <f>AND(#REF!,"AAAAAH7b/zY=")</f>
        <v>#REF!</v>
      </c>
      <c r="BD1" t="e">
        <f>AND(#REF!,"AAAAAH7b/zc=")</f>
        <v>#REF!</v>
      </c>
      <c r="BE1" t="e">
        <f>IF(#REF!,"AAAAAH7b/zg=",0)</f>
        <v>#REF!</v>
      </c>
      <c r="BF1" t="e">
        <f>AND(#REF!,"AAAAAH7b/zk=")</f>
        <v>#REF!</v>
      </c>
      <c r="BG1" t="e">
        <f>AND(#REF!,"AAAAAH7b/zo=")</f>
        <v>#REF!</v>
      </c>
      <c r="BH1" t="e">
        <f>AND(#REF!,"AAAAAH7b/zs=")</f>
        <v>#REF!</v>
      </c>
      <c r="BI1" t="e">
        <f>AND(#REF!,"AAAAAH7b/zw=")</f>
        <v>#REF!</v>
      </c>
      <c r="BJ1" t="e">
        <f>AND(#REF!,"AAAAAH7b/z0=")</f>
        <v>#REF!</v>
      </c>
      <c r="BK1" t="e">
        <f>AND(#REF!,"AAAAAH7b/z4=")</f>
        <v>#REF!</v>
      </c>
      <c r="BL1" t="e">
        <f>AND(#REF!,"AAAAAH7b/z8=")</f>
        <v>#REF!</v>
      </c>
      <c r="BM1" t="e">
        <f>IF(#REF!,"AAAAAH7b/0A=",0)</f>
        <v>#REF!</v>
      </c>
      <c r="BN1" t="e">
        <f>AND(#REF!,"AAAAAH7b/0E=")</f>
        <v>#REF!</v>
      </c>
      <c r="BO1" t="e">
        <f>AND(#REF!,"AAAAAH7b/0I=")</f>
        <v>#REF!</v>
      </c>
      <c r="BP1" t="e">
        <f>AND(#REF!,"AAAAAH7b/0M=")</f>
        <v>#REF!</v>
      </c>
      <c r="BQ1" t="e">
        <f>AND(#REF!,"AAAAAH7b/0Q=")</f>
        <v>#REF!</v>
      </c>
      <c r="BR1" t="e">
        <f>AND(#REF!,"AAAAAH7b/0U=")</f>
        <v>#REF!</v>
      </c>
      <c r="BS1" t="e">
        <f>AND(#REF!,"AAAAAH7b/0Y=")</f>
        <v>#REF!</v>
      </c>
      <c r="BT1" t="e">
        <f>AND(#REF!,"AAAAAH7b/0c=")</f>
        <v>#REF!</v>
      </c>
      <c r="BU1" t="e">
        <f>IF(#REF!,"AAAAAH7b/0g=",0)</f>
        <v>#REF!</v>
      </c>
      <c r="BV1" t="e">
        <f>AND(#REF!,"AAAAAH7b/0k=")</f>
        <v>#REF!</v>
      </c>
      <c r="BW1" t="e">
        <f>AND(#REF!,"AAAAAH7b/0o=")</f>
        <v>#REF!</v>
      </c>
      <c r="BX1" t="e">
        <f>AND(#REF!,"AAAAAH7b/0s=")</f>
        <v>#REF!</v>
      </c>
      <c r="BY1" t="e">
        <f>AND(#REF!,"AAAAAH7b/0w=")</f>
        <v>#REF!</v>
      </c>
      <c r="BZ1" t="e">
        <f>AND(#REF!,"AAAAAH7b/00=")</f>
        <v>#REF!</v>
      </c>
      <c r="CA1" t="e">
        <f>AND(#REF!,"AAAAAH7b/04=")</f>
        <v>#REF!</v>
      </c>
      <c r="CB1" t="e">
        <f>AND(#REF!,"AAAAAH7b/08=")</f>
        <v>#REF!</v>
      </c>
      <c r="CC1" t="e">
        <f>IF(#REF!,"AAAAAH7b/1A=",0)</f>
        <v>#REF!</v>
      </c>
      <c r="CD1" t="e">
        <f>AND(#REF!,"AAAAAH7b/1E=")</f>
        <v>#REF!</v>
      </c>
      <c r="CE1" t="e">
        <f>AND(#REF!,"AAAAAH7b/1I=")</f>
        <v>#REF!</v>
      </c>
      <c r="CF1" t="e">
        <f>AND(#REF!,"AAAAAH7b/1M=")</f>
        <v>#REF!</v>
      </c>
      <c r="CG1" t="e">
        <f>AND(#REF!,"AAAAAH7b/1Q=")</f>
        <v>#REF!</v>
      </c>
      <c r="CH1" t="e">
        <f>AND(#REF!,"AAAAAH7b/1U=")</f>
        <v>#REF!</v>
      </c>
      <c r="CI1" t="e">
        <f>AND(#REF!,"AAAAAH7b/1Y=")</f>
        <v>#REF!</v>
      </c>
      <c r="CJ1" t="e">
        <f>AND(#REF!,"AAAAAH7b/1c=")</f>
        <v>#REF!</v>
      </c>
      <c r="CK1" t="e">
        <f>IF(#REF!,"AAAAAH7b/1g=",0)</f>
        <v>#REF!</v>
      </c>
      <c r="CL1" t="e">
        <f>AND(#REF!,"AAAAAH7b/1k=")</f>
        <v>#REF!</v>
      </c>
      <c r="CM1" t="e">
        <f>AND(#REF!,"AAAAAH7b/1o=")</f>
        <v>#REF!</v>
      </c>
      <c r="CN1" t="e">
        <f>AND(#REF!,"AAAAAH7b/1s=")</f>
        <v>#REF!</v>
      </c>
      <c r="CO1" t="e">
        <f>AND(#REF!,"AAAAAH7b/1w=")</f>
        <v>#REF!</v>
      </c>
      <c r="CP1" t="e">
        <f>AND(#REF!,"AAAAAH7b/10=")</f>
        <v>#REF!</v>
      </c>
      <c r="CQ1" t="e">
        <f>AND(#REF!,"AAAAAH7b/14=")</f>
        <v>#REF!</v>
      </c>
      <c r="CR1" t="e">
        <f>AND(#REF!,"AAAAAH7b/18=")</f>
        <v>#REF!</v>
      </c>
      <c r="CS1" t="e">
        <f>IF(#REF!,"AAAAAH7b/2A=",0)</f>
        <v>#REF!</v>
      </c>
      <c r="CT1" t="e">
        <f>AND(#REF!,"AAAAAH7b/2E=")</f>
        <v>#REF!</v>
      </c>
      <c r="CU1" t="e">
        <f>AND(#REF!,"AAAAAH7b/2I=")</f>
        <v>#REF!</v>
      </c>
      <c r="CV1" t="e">
        <f>AND(#REF!,"AAAAAH7b/2M=")</f>
        <v>#REF!</v>
      </c>
      <c r="CW1" t="e">
        <f>AND(#REF!,"AAAAAH7b/2Q=")</f>
        <v>#REF!</v>
      </c>
      <c r="CX1" t="e">
        <f>AND(#REF!,"AAAAAH7b/2U=")</f>
        <v>#REF!</v>
      </c>
      <c r="CY1" t="e">
        <f>AND(#REF!,"AAAAAH7b/2Y=")</f>
        <v>#REF!</v>
      </c>
      <c r="CZ1" t="e">
        <f>AND(#REF!,"AAAAAH7b/2c=")</f>
        <v>#REF!</v>
      </c>
      <c r="DA1" t="e">
        <f>IF(#REF!,"AAAAAH7b/2g=",0)</f>
        <v>#REF!</v>
      </c>
      <c r="DB1" t="e">
        <f>AND(#REF!,"AAAAAH7b/2k=")</f>
        <v>#REF!</v>
      </c>
      <c r="DC1" t="e">
        <f>AND(#REF!,"AAAAAH7b/2o=")</f>
        <v>#REF!</v>
      </c>
      <c r="DD1" t="e">
        <f>AND(#REF!,"AAAAAH7b/2s=")</f>
        <v>#REF!</v>
      </c>
      <c r="DE1" t="e">
        <f>AND(#REF!,"AAAAAH7b/2w=")</f>
        <v>#REF!</v>
      </c>
      <c r="DF1" t="e">
        <f>AND(#REF!,"AAAAAH7b/20=")</f>
        <v>#REF!</v>
      </c>
      <c r="DG1" t="e">
        <f>AND(#REF!,"AAAAAH7b/24=")</f>
        <v>#REF!</v>
      </c>
      <c r="DH1" t="e">
        <f>AND(#REF!,"AAAAAH7b/28=")</f>
        <v>#REF!</v>
      </c>
      <c r="DI1" t="e">
        <f>IF(#REF!,"AAAAAH7b/3A=",0)</f>
        <v>#REF!</v>
      </c>
      <c r="DJ1" t="e">
        <f>AND(#REF!,"AAAAAH7b/3E=")</f>
        <v>#REF!</v>
      </c>
      <c r="DK1" t="e">
        <f>AND(#REF!,"AAAAAH7b/3I=")</f>
        <v>#REF!</v>
      </c>
      <c r="DL1" t="e">
        <f>AND(#REF!,"AAAAAH7b/3M=")</f>
        <v>#REF!</v>
      </c>
      <c r="DM1" t="e">
        <f>AND(#REF!,"AAAAAH7b/3Q=")</f>
        <v>#REF!</v>
      </c>
      <c r="DN1" t="e">
        <f>AND(#REF!,"AAAAAH7b/3U=")</f>
        <v>#REF!</v>
      </c>
      <c r="DO1" t="e">
        <f>AND(#REF!,"AAAAAH7b/3Y=")</f>
        <v>#REF!</v>
      </c>
      <c r="DP1" t="e">
        <f>AND(#REF!,"AAAAAH7b/3c=")</f>
        <v>#REF!</v>
      </c>
      <c r="DQ1" t="e">
        <f>IF(#REF!,"AAAAAH7b/3g=",0)</f>
        <v>#REF!</v>
      </c>
      <c r="DR1" t="e">
        <f>AND(#REF!,"AAAAAH7b/3k=")</f>
        <v>#REF!</v>
      </c>
      <c r="DS1" t="e">
        <f>AND(#REF!,"AAAAAH7b/3o=")</f>
        <v>#REF!</v>
      </c>
      <c r="DT1" t="e">
        <f>AND(#REF!,"AAAAAH7b/3s=")</f>
        <v>#REF!</v>
      </c>
      <c r="DU1" t="e">
        <f>AND(#REF!,"AAAAAH7b/3w=")</f>
        <v>#REF!</v>
      </c>
      <c r="DV1" t="e">
        <f>AND(#REF!,"AAAAAH7b/30=")</f>
        <v>#REF!</v>
      </c>
      <c r="DW1" t="e">
        <f>AND(#REF!,"AAAAAH7b/34=")</f>
        <v>#REF!</v>
      </c>
      <c r="DX1" t="e">
        <f>AND(#REF!,"AAAAAH7b/38=")</f>
        <v>#REF!</v>
      </c>
      <c r="DY1" t="e">
        <f>IF(#REF!,"AAAAAH7b/4A=",0)</f>
        <v>#REF!</v>
      </c>
      <c r="DZ1" t="e">
        <f>AND(#REF!,"AAAAAH7b/4E=")</f>
        <v>#REF!</v>
      </c>
      <c r="EA1" t="e">
        <f>AND(#REF!,"AAAAAH7b/4I=")</f>
        <v>#REF!</v>
      </c>
      <c r="EB1" t="e">
        <f>AND(#REF!,"AAAAAH7b/4M=")</f>
        <v>#REF!</v>
      </c>
      <c r="EC1" t="e">
        <f>AND(#REF!,"AAAAAH7b/4Q=")</f>
        <v>#REF!</v>
      </c>
      <c r="ED1" t="e">
        <f>AND(#REF!,"AAAAAH7b/4U=")</f>
        <v>#REF!</v>
      </c>
      <c r="EE1" t="e">
        <f>AND(#REF!,"AAAAAH7b/4Y=")</f>
        <v>#REF!</v>
      </c>
      <c r="EF1" t="e">
        <f>AND(#REF!,"AAAAAH7b/4c=")</f>
        <v>#REF!</v>
      </c>
      <c r="EG1" t="e">
        <f>IF(#REF!,"AAAAAH7b/4g=",0)</f>
        <v>#REF!</v>
      </c>
      <c r="EH1" t="e">
        <f>AND(#REF!,"AAAAAH7b/4k=")</f>
        <v>#REF!</v>
      </c>
      <c r="EI1" t="e">
        <f>AND(#REF!,"AAAAAH7b/4o=")</f>
        <v>#REF!</v>
      </c>
      <c r="EJ1" t="e">
        <f>AND(#REF!,"AAAAAH7b/4s=")</f>
        <v>#REF!</v>
      </c>
      <c r="EK1" t="e">
        <f>AND(#REF!,"AAAAAH7b/4w=")</f>
        <v>#REF!</v>
      </c>
      <c r="EL1" t="e">
        <f>AND(#REF!,"AAAAAH7b/40=")</f>
        <v>#REF!</v>
      </c>
      <c r="EM1" t="e">
        <f>AND(#REF!,"AAAAAH7b/44=")</f>
        <v>#REF!</v>
      </c>
      <c r="EN1" t="e">
        <f>AND(#REF!,"AAAAAH7b/48=")</f>
        <v>#REF!</v>
      </c>
      <c r="EO1" t="e">
        <f>IF(#REF!,"AAAAAH7b/5A=",0)</f>
        <v>#REF!</v>
      </c>
      <c r="EP1" t="e">
        <f>AND(#REF!,"AAAAAH7b/5E=")</f>
        <v>#REF!</v>
      </c>
      <c r="EQ1" t="e">
        <f>AND(#REF!,"AAAAAH7b/5I=")</f>
        <v>#REF!</v>
      </c>
      <c r="ER1" t="e">
        <f>AND(#REF!,"AAAAAH7b/5M=")</f>
        <v>#REF!</v>
      </c>
      <c r="ES1" t="e">
        <f>AND(#REF!,"AAAAAH7b/5Q=")</f>
        <v>#REF!</v>
      </c>
      <c r="ET1" t="e">
        <f>AND(#REF!,"AAAAAH7b/5U=")</f>
        <v>#REF!</v>
      </c>
      <c r="EU1" t="e">
        <f>AND(#REF!,"AAAAAH7b/5Y=")</f>
        <v>#REF!</v>
      </c>
      <c r="EV1" t="e">
        <f>AND(#REF!,"AAAAAH7b/5c=")</f>
        <v>#REF!</v>
      </c>
      <c r="EW1" t="e">
        <f>IF(#REF!,"AAAAAH7b/5g=",0)</f>
        <v>#REF!</v>
      </c>
      <c r="EX1" t="e">
        <f>AND(#REF!,"AAAAAH7b/5k=")</f>
        <v>#REF!</v>
      </c>
      <c r="EY1" t="e">
        <f>AND(#REF!,"AAAAAH7b/5o=")</f>
        <v>#REF!</v>
      </c>
      <c r="EZ1" t="e">
        <f>AND(#REF!,"AAAAAH7b/5s=")</f>
        <v>#REF!</v>
      </c>
      <c r="FA1" t="e">
        <f>AND(#REF!,"AAAAAH7b/5w=")</f>
        <v>#REF!</v>
      </c>
      <c r="FB1" t="e">
        <f>AND(#REF!,"AAAAAH7b/50=")</f>
        <v>#REF!</v>
      </c>
      <c r="FC1" t="e">
        <f>AND(#REF!,"AAAAAH7b/54=")</f>
        <v>#REF!</v>
      </c>
      <c r="FD1" t="e">
        <f>AND(#REF!,"AAAAAH7b/58=")</f>
        <v>#REF!</v>
      </c>
      <c r="FE1" t="e">
        <f>IF(#REF!,"AAAAAH7b/6A=",0)</f>
        <v>#REF!</v>
      </c>
      <c r="FF1" t="e">
        <f>AND(#REF!,"AAAAAH7b/6E=")</f>
        <v>#REF!</v>
      </c>
      <c r="FG1" t="e">
        <f>AND(#REF!,"AAAAAH7b/6I=")</f>
        <v>#REF!</v>
      </c>
      <c r="FH1" t="e">
        <f>AND(#REF!,"AAAAAH7b/6M=")</f>
        <v>#REF!</v>
      </c>
      <c r="FI1" t="e">
        <f>AND(#REF!,"AAAAAH7b/6Q=")</f>
        <v>#REF!</v>
      </c>
      <c r="FJ1" t="e">
        <f>AND(#REF!,"AAAAAH7b/6U=")</f>
        <v>#REF!</v>
      </c>
      <c r="FK1" t="e">
        <f>AND(#REF!,"AAAAAH7b/6Y=")</f>
        <v>#REF!</v>
      </c>
      <c r="FL1" t="e">
        <f>AND(#REF!,"AAAAAH7b/6c=")</f>
        <v>#REF!</v>
      </c>
      <c r="FM1" t="e">
        <f>IF(#REF!,"AAAAAH7b/6g=",0)</f>
        <v>#REF!</v>
      </c>
      <c r="FN1" t="e">
        <f>AND(#REF!,"AAAAAH7b/6k=")</f>
        <v>#REF!</v>
      </c>
      <c r="FO1" t="e">
        <f>AND(#REF!,"AAAAAH7b/6o=")</f>
        <v>#REF!</v>
      </c>
      <c r="FP1" t="e">
        <f>AND(#REF!,"AAAAAH7b/6s=")</f>
        <v>#REF!</v>
      </c>
      <c r="FQ1" t="e">
        <f>AND(#REF!,"AAAAAH7b/6w=")</f>
        <v>#REF!</v>
      </c>
      <c r="FR1" t="e">
        <f>AND(#REF!,"AAAAAH7b/60=")</f>
        <v>#REF!</v>
      </c>
      <c r="FS1" t="e">
        <f>AND(#REF!,"AAAAAH7b/64=")</f>
        <v>#REF!</v>
      </c>
      <c r="FT1" t="e">
        <f>AND(#REF!,"AAAAAH7b/68=")</f>
        <v>#REF!</v>
      </c>
      <c r="FU1" t="e">
        <f>IF(#REF!,"AAAAAH7b/7A=",0)</f>
        <v>#REF!</v>
      </c>
      <c r="FV1" t="e">
        <f>AND(#REF!,"AAAAAH7b/7E=")</f>
        <v>#REF!</v>
      </c>
      <c r="FW1" t="e">
        <f>AND(#REF!,"AAAAAH7b/7I=")</f>
        <v>#REF!</v>
      </c>
      <c r="FX1" t="e">
        <f>AND(#REF!,"AAAAAH7b/7M=")</f>
        <v>#REF!</v>
      </c>
      <c r="FY1" t="e">
        <f>AND(#REF!,"AAAAAH7b/7Q=")</f>
        <v>#REF!</v>
      </c>
      <c r="FZ1" t="e">
        <f>AND(#REF!,"AAAAAH7b/7U=")</f>
        <v>#REF!</v>
      </c>
      <c r="GA1" t="e">
        <f>AND(#REF!,"AAAAAH7b/7Y=")</f>
        <v>#REF!</v>
      </c>
      <c r="GB1" t="e">
        <f>AND(#REF!,"AAAAAH7b/7c=")</f>
        <v>#REF!</v>
      </c>
      <c r="GC1" t="e">
        <f>IF(#REF!,"AAAAAH7b/7g=",0)</f>
        <v>#REF!</v>
      </c>
      <c r="GD1" t="e">
        <f>AND(#REF!,"AAAAAH7b/7k=")</f>
        <v>#REF!</v>
      </c>
      <c r="GE1" t="e">
        <f>AND(#REF!,"AAAAAH7b/7o=")</f>
        <v>#REF!</v>
      </c>
      <c r="GF1" t="e">
        <f>AND(#REF!,"AAAAAH7b/7s=")</f>
        <v>#REF!</v>
      </c>
      <c r="GG1" t="e">
        <f>AND(#REF!,"AAAAAH7b/7w=")</f>
        <v>#REF!</v>
      </c>
      <c r="GH1" t="e">
        <f>AND(#REF!,"AAAAAH7b/70=")</f>
        <v>#REF!</v>
      </c>
      <c r="GI1" t="e">
        <f>AND(#REF!,"AAAAAH7b/74=")</f>
        <v>#REF!</v>
      </c>
      <c r="GJ1" t="e">
        <f>AND(#REF!,"AAAAAH7b/78=")</f>
        <v>#REF!</v>
      </c>
      <c r="GK1" t="e">
        <f>IF(#REF!,"AAAAAH7b/8A=",0)</f>
        <v>#REF!</v>
      </c>
      <c r="GL1" t="e">
        <f>AND(#REF!,"AAAAAH7b/8E=")</f>
        <v>#REF!</v>
      </c>
      <c r="GM1" t="e">
        <f>AND(#REF!,"AAAAAH7b/8I=")</f>
        <v>#REF!</v>
      </c>
      <c r="GN1" t="e">
        <f>AND(#REF!,"AAAAAH7b/8M=")</f>
        <v>#REF!</v>
      </c>
      <c r="GO1" t="e">
        <f>AND(#REF!,"AAAAAH7b/8Q=")</f>
        <v>#REF!</v>
      </c>
      <c r="GP1" t="e">
        <f>AND(#REF!,"AAAAAH7b/8U=")</f>
        <v>#REF!</v>
      </c>
      <c r="GQ1" t="e">
        <f>AND(#REF!,"AAAAAH7b/8Y=")</f>
        <v>#REF!</v>
      </c>
      <c r="GR1" t="e">
        <f>AND(#REF!,"AAAAAH7b/8c=")</f>
        <v>#REF!</v>
      </c>
      <c r="GS1" t="e">
        <f>IF(#REF!,"AAAAAH7b/8g=",0)</f>
        <v>#REF!</v>
      </c>
      <c r="GT1" t="e">
        <f>AND(#REF!,"AAAAAH7b/8k=")</f>
        <v>#REF!</v>
      </c>
      <c r="GU1" t="e">
        <f>AND(#REF!,"AAAAAH7b/8o=")</f>
        <v>#REF!</v>
      </c>
      <c r="GV1" t="e">
        <f>AND(#REF!,"AAAAAH7b/8s=")</f>
        <v>#REF!</v>
      </c>
      <c r="GW1" t="e">
        <f>AND(#REF!,"AAAAAH7b/8w=")</f>
        <v>#REF!</v>
      </c>
      <c r="GX1" t="e">
        <f>AND(#REF!,"AAAAAH7b/80=")</f>
        <v>#REF!</v>
      </c>
      <c r="GY1" t="e">
        <f>AND(#REF!,"AAAAAH7b/84=")</f>
        <v>#REF!</v>
      </c>
      <c r="GZ1" t="e">
        <f>AND(#REF!,"AAAAAH7b/88=")</f>
        <v>#REF!</v>
      </c>
      <c r="HA1" t="e">
        <f>IF(#REF!,"AAAAAH7b/9A=",0)</f>
        <v>#REF!</v>
      </c>
      <c r="HB1" t="e">
        <f>AND(#REF!,"AAAAAH7b/9E=")</f>
        <v>#REF!</v>
      </c>
      <c r="HC1" t="e">
        <f>AND(#REF!,"AAAAAH7b/9I=")</f>
        <v>#REF!</v>
      </c>
      <c r="HD1" t="e">
        <f>AND(#REF!,"AAAAAH7b/9M=")</f>
        <v>#REF!</v>
      </c>
      <c r="HE1" t="e">
        <f>AND(#REF!,"AAAAAH7b/9Q=")</f>
        <v>#REF!</v>
      </c>
      <c r="HF1" t="e">
        <f>AND(#REF!,"AAAAAH7b/9U=")</f>
        <v>#REF!</v>
      </c>
      <c r="HG1" t="e">
        <f>AND(#REF!,"AAAAAH7b/9Y=")</f>
        <v>#REF!</v>
      </c>
      <c r="HH1" t="e">
        <f>AND(#REF!,"AAAAAH7b/9c=")</f>
        <v>#REF!</v>
      </c>
      <c r="HI1" t="e">
        <f>IF(#REF!,"AAAAAH7b/9g=",0)</f>
        <v>#REF!</v>
      </c>
      <c r="HJ1" t="e">
        <f>AND(#REF!,"AAAAAH7b/9k=")</f>
        <v>#REF!</v>
      </c>
      <c r="HK1" t="e">
        <f>AND(#REF!,"AAAAAH7b/9o=")</f>
        <v>#REF!</v>
      </c>
      <c r="HL1" t="e">
        <f>AND(#REF!,"AAAAAH7b/9s=")</f>
        <v>#REF!</v>
      </c>
      <c r="HM1" t="e">
        <f>AND(#REF!,"AAAAAH7b/9w=")</f>
        <v>#REF!</v>
      </c>
      <c r="HN1" t="e">
        <f>AND(#REF!,"AAAAAH7b/90=")</f>
        <v>#REF!</v>
      </c>
      <c r="HO1" t="e">
        <f>AND(#REF!,"AAAAAH7b/94=")</f>
        <v>#REF!</v>
      </c>
      <c r="HP1" t="e">
        <f>AND(#REF!,"AAAAAH7b/98=")</f>
        <v>#REF!</v>
      </c>
      <c r="HQ1" t="e">
        <f>IF(#REF!,"AAAAAH7b/+A=",0)</f>
        <v>#REF!</v>
      </c>
      <c r="HR1" t="e">
        <f>AND(#REF!,"AAAAAH7b/+E=")</f>
        <v>#REF!</v>
      </c>
      <c r="HS1" t="e">
        <f>AND(#REF!,"AAAAAH7b/+I=")</f>
        <v>#REF!</v>
      </c>
      <c r="HT1" t="e">
        <f>AND(#REF!,"AAAAAH7b/+M=")</f>
        <v>#REF!</v>
      </c>
      <c r="HU1" t="e">
        <f>AND(#REF!,"AAAAAH7b/+Q=")</f>
        <v>#REF!</v>
      </c>
      <c r="HV1" t="e">
        <f>AND(#REF!,"AAAAAH7b/+U=")</f>
        <v>#REF!</v>
      </c>
      <c r="HW1" t="e">
        <f>AND(#REF!,"AAAAAH7b/+Y=")</f>
        <v>#REF!</v>
      </c>
      <c r="HX1" t="e">
        <f>AND(#REF!,"AAAAAH7b/+c=")</f>
        <v>#REF!</v>
      </c>
      <c r="HY1" t="e">
        <f>IF(#REF!,"AAAAAH7b/+g=",0)</f>
        <v>#REF!</v>
      </c>
      <c r="HZ1" t="e">
        <f>AND(#REF!,"AAAAAH7b/+k=")</f>
        <v>#REF!</v>
      </c>
      <c r="IA1" t="e">
        <f>AND(#REF!,"AAAAAH7b/+o=")</f>
        <v>#REF!</v>
      </c>
      <c r="IB1" t="e">
        <f>AND(#REF!,"AAAAAH7b/+s=")</f>
        <v>#REF!</v>
      </c>
      <c r="IC1" t="e">
        <f>AND(#REF!,"AAAAAH7b/+w=")</f>
        <v>#REF!</v>
      </c>
      <c r="ID1" t="e">
        <f>AND(#REF!,"AAAAAH7b/+0=")</f>
        <v>#REF!</v>
      </c>
      <c r="IE1" t="e">
        <f>AND(#REF!,"AAAAAH7b/+4=")</f>
        <v>#REF!</v>
      </c>
      <c r="IF1" t="e">
        <f>AND(#REF!,"AAAAAH7b/+8=")</f>
        <v>#REF!</v>
      </c>
      <c r="IG1" t="e">
        <f>IF(#REF!,"AAAAAH7b//A=",0)</f>
        <v>#REF!</v>
      </c>
      <c r="IH1" t="e">
        <f>AND(#REF!,"AAAAAH7b//E=")</f>
        <v>#REF!</v>
      </c>
      <c r="II1" t="e">
        <f>AND(#REF!,"AAAAAH7b//I=")</f>
        <v>#REF!</v>
      </c>
      <c r="IJ1" t="e">
        <f>AND(#REF!,"AAAAAH7b//M=")</f>
        <v>#REF!</v>
      </c>
      <c r="IK1" t="e">
        <f>AND(#REF!,"AAAAAH7b//Q=")</f>
        <v>#REF!</v>
      </c>
      <c r="IL1" t="e">
        <f>AND(#REF!,"AAAAAH7b//U=")</f>
        <v>#REF!</v>
      </c>
      <c r="IM1" t="e">
        <f>AND(#REF!,"AAAAAH7b//Y=")</f>
        <v>#REF!</v>
      </c>
      <c r="IN1" t="e">
        <f>AND(#REF!,"AAAAAH7b//c=")</f>
        <v>#REF!</v>
      </c>
      <c r="IO1" t="e">
        <f>IF(#REF!,"AAAAAH7b//g=",0)</f>
        <v>#REF!</v>
      </c>
      <c r="IP1" t="e">
        <f>AND(#REF!,"AAAAAH7b//k=")</f>
        <v>#REF!</v>
      </c>
      <c r="IQ1" t="e">
        <f>AND(#REF!,"AAAAAH7b//o=")</f>
        <v>#REF!</v>
      </c>
      <c r="IR1" t="e">
        <f>AND(#REF!,"AAAAAH7b//s=")</f>
        <v>#REF!</v>
      </c>
      <c r="IS1" t="e">
        <f>AND(#REF!,"AAAAAH7b//w=")</f>
        <v>#REF!</v>
      </c>
      <c r="IT1" t="e">
        <f>AND(#REF!,"AAAAAH7b//0=")</f>
        <v>#REF!</v>
      </c>
      <c r="IU1" t="e">
        <f>AND(#REF!,"AAAAAH7b//4=")</f>
        <v>#REF!</v>
      </c>
      <c r="IV1" t="e">
        <f>AND(#REF!,"AAAAAH7b//8=")</f>
        <v>#REF!</v>
      </c>
    </row>
    <row r="2" spans="1:256" x14ac:dyDescent="0.2">
      <c r="A2" t="e">
        <f>IF(#REF!,"AAAAAH/vfwA=",0)</f>
        <v>#REF!</v>
      </c>
      <c r="B2" t="e">
        <f>AND(#REF!,"AAAAAH/vfwE=")</f>
        <v>#REF!</v>
      </c>
      <c r="C2" t="e">
        <f>AND(#REF!,"AAAAAH/vfwI=")</f>
        <v>#REF!</v>
      </c>
      <c r="D2" t="e">
        <f>AND(#REF!,"AAAAAH/vfwM=")</f>
        <v>#REF!</v>
      </c>
      <c r="E2" t="e">
        <f>AND(#REF!,"AAAAAH/vfwQ=")</f>
        <v>#REF!</v>
      </c>
      <c r="F2" t="e">
        <f>AND(#REF!,"AAAAAH/vfwU=")</f>
        <v>#REF!</v>
      </c>
      <c r="G2" t="e">
        <f>AND(#REF!,"AAAAAH/vfwY=")</f>
        <v>#REF!</v>
      </c>
      <c r="H2" t="e">
        <f>AND(#REF!,"AAAAAH/vfwc=")</f>
        <v>#REF!</v>
      </c>
      <c r="I2" t="e">
        <f>IF(#REF!,"AAAAAH/vfwg=",0)</f>
        <v>#REF!</v>
      </c>
      <c r="J2" t="e">
        <f>AND(#REF!,"AAAAAH/vfwk=")</f>
        <v>#REF!</v>
      </c>
      <c r="K2" t="e">
        <f>AND(#REF!,"AAAAAH/vfwo=")</f>
        <v>#REF!</v>
      </c>
      <c r="L2" t="e">
        <f>AND(#REF!,"AAAAAH/vfws=")</f>
        <v>#REF!</v>
      </c>
      <c r="M2" t="e">
        <f>AND(#REF!,"AAAAAH/vfww=")</f>
        <v>#REF!</v>
      </c>
      <c r="N2" t="e">
        <f>AND(#REF!,"AAAAAH/vfw0=")</f>
        <v>#REF!</v>
      </c>
      <c r="O2" t="e">
        <f>AND(#REF!,"AAAAAH/vfw4=")</f>
        <v>#REF!</v>
      </c>
      <c r="P2" t="e">
        <f>AND(#REF!,"AAAAAH/vfw8=")</f>
        <v>#REF!</v>
      </c>
      <c r="Q2" t="e">
        <f>IF(#REF!,"AAAAAH/vfxA=",0)</f>
        <v>#REF!</v>
      </c>
      <c r="R2" t="e">
        <f>IF(#REF!,"AAAAAH/vfxE=",0)</f>
        <v>#REF!</v>
      </c>
      <c r="S2" t="e">
        <f>IF(#REF!,"AAAAAH/vfxI=",0)</f>
        <v>#REF!</v>
      </c>
      <c r="T2" t="e">
        <f>IF(#REF!,"AAAAAH/vfxM=",0)</f>
        <v>#REF!</v>
      </c>
      <c r="U2" t="e">
        <f>IF(#REF!,"AAAAAH/vfxQ=",0)</f>
        <v>#REF!</v>
      </c>
      <c r="V2" t="e">
        <f>IF(#REF!,"AAAAAH/vfxU=",0)</f>
        <v>#REF!</v>
      </c>
      <c r="W2" t="e">
        <f>IF(#REF!,"AAAAAH/vfxY=",0)</f>
        <v>#REF!</v>
      </c>
      <c r="X2" t="e">
        <f>IF(#REF!,"AAAAAH/vfxc=",0)</f>
        <v>#REF!</v>
      </c>
      <c r="Y2" t="e">
        <f>IF(#REF!,"AAAAAH/vfxg=",0)</f>
        <v>#REF!</v>
      </c>
      <c r="Z2" t="e">
        <f>AND(#REF!,"AAAAAH/vfxk=")</f>
        <v>#REF!</v>
      </c>
      <c r="AA2" t="e">
        <f>AND(#REF!,"AAAAAH/vfxo=")</f>
        <v>#REF!</v>
      </c>
      <c r="AB2" t="e">
        <f>AND(#REF!,"AAAAAH/vfxs=")</f>
        <v>#REF!</v>
      </c>
      <c r="AC2" t="e">
        <f>AND(#REF!,"AAAAAH/vfxw=")</f>
        <v>#REF!</v>
      </c>
      <c r="AD2" t="e">
        <f>AND(#REF!,"AAAAAH/vfx0=")</f>
        <v>#REF!</v>
      </c>
      <c r="AE2" t="e">
        <f>AND(#REF!,"AAAAAH/vfx4=")</f>
        <v>#REF!</v>
      </c>
      <c r="AF2" t="e">
        <f>IF(#REF!,"AAAAAH/vfx8=",0)</f>
        <v>#REF!</v>
      </c>
      <c r="AG2" t="e">
        <f>AND(#REF!,"AAAAAH/vfyA=")</f>
        <v>#REF!</v>
      </c>
      <c r="AH2" t="e">
        <f>AND(#REF!,"AAAAAH/vfyE=")</f>
        <v>#REF!</v>
      </c>
      <c r="AI2" t="e">
        <f>AND(#REF!,"AAAAAH/vfyI=")</f>
        <v>#REF!</v>
      </c>
      <c r="AJ2" t="e">
        <f>AND(#REF!,"AAAAAH/vfyM=")</f>
        <v>#REF!</v>
      </c>
      <c r="AK2" t="e">
        <f>AND(#REF!,"AAAAAH/vfyQ=")</f>
        <v>#REF!</v>
      </c>
      <c r="AL2" t="e">
        <f>AND(#REF!,"AAAAAH/vfyU=")</f>
        <v>#REF!</v>
      </c>
      <c r="AM2" t="e">
        <f>IF(#REF!,"AAAAAH/vfyY=",0)</f>
        <v>#REF!</v>
      </c>
      <c r="AN2" t="e">
        <f>AND(#REF!,"AAAAAH/vfyc=")</f>
        <v>#REF!</v>
      </c>
      <c r="AO2" t="e">
        <f>AND(#REF!,"AAAAAH/vfyg=")</f>
        <v>#REF!</v>
      </c>
      <c r="AP2" t="e">
        <f>AND(#REF!,"AAAAAH/vfyk=")</f>
        <v>#REF!</v>
      </c>
      <c r="AQ2" t="e">
        <f>AND(#REF!,"AAAAAH/vfyo=")</f>
        <v>#REF!</v>
      </c>
      <c r="AR2" t="e">
        <f>AND(#REF!,"AAAAAH/vfys=")</f>
        <v>#REF!</v>
      </c>
      <c r="AS2" t="e">
        <f>AND(#REF!,"AAAAAH/vfyw=")</f>
        <v>#REF!</v>
      </c>
      <c r="AT2" t="e">
        <f>IF(#REF!,"AAAAAH/vfy0=",0)</f>
        <v>#REF!</v>
      </c>
      <c r="AU2" t="e">
        <f>AND(#REF!,"AAAAAH/vfy4=")</f>
        <v>#REF!</v>
      </c>
      <c r="AV2" t="e">
        <f>AND(#REF!,"AAAAAH/vfy8=")</f>
        <v>#REF!</v>
      </c>
      <c r="AW2" t="e">
        <f>AND(#REF!,"AAAAAH/vfzA=")</f>
        <v>#REF!</v>
      </c>
      <c r="AX2" t="e">
        <f>AND(#REF!,"AAAAAH/vfzE=")</f>
        <v>#REF!</v>
      </c>
      <c r="AY2" t="e">
        <f>AND(#REF!,"AAAAAH/vfzI=")</f>
        <v>#REF!</v>
      </c>
      <c r="AZ2" t="e">
        <f>AND(#REF!,"AAAAAH/vfzM=")</f>
        <v>#REF!</v>
      </c>
      <c r="BA2" t="e">
        <f>IF(#REF!,"AAAAAH/vfzQ=",0)</f>
        <v>#REF!</v>
      </c>
      <c r="BB2" t="e">
        <f>AND(#REF!,"AAAAAH/vfzU=")</f>
        <v>#REF!</v>
      </c>
      <c r="BC2" t="e">
        <f>AND(#REF!,"AAAAAH/vfzY=")</f>
        <v>#REF!</v>
      </c>
      <c r="BD2" t="e">
        <f>AND(#REF!,"AAAAAH/vfzc=")</f>
        <v>#REF!</v>
      </c>
      <c r="BE2" t="e">
        <f>AND(#REF!,"AAAAAH/vfzg=")</f>
        <v>#REF!</v>
      </c>
      <c r="BF2" t="e">
        <f>AND(#REF!,"AAAAAH/vfzk=")</f>
        <v>#REF!</v>
      </c>
      <c r="BG2" t="e">
        <f>AND(#REF!,"AAAAAH/vfzo=")</f>
        <v>#REF!</v>
      </c>
      <c r="BH2" t="e">
        <f>IF(#REF!,"AAAAAH/vfzs=",0)</f>
        <v>#REF!</v>
      </c>
      <c r="BI2" t="e">
        <f>AND(#REF!,"AAAAAH/vfzw=")</f>
        <v>#REF!</v>
      </c>
      <c r="BJ2" t="e">
        <f>AND(#REF!,"AAAAAH/vfz0=")</f>
        <v>#REF!</v>
      </c>
      <c r="BK2" t="e">
        <f>AND(#REF!,"AAAAAH/vfz4=")</f>
        <v>#REF!</v>
      </c>
      <c r="BL2" t="e">
        <f>AND(#REF!,"AAAAAH/vfz8=")</f>
        <v>#REF!</v>
      </c>
      <c r="BM2" t="e">
        <f>AND(#REF!,"AAAAAH/vf0A=")</f>
        <v>#REF!</v>
      </c>
      <c r="BN2" t="e">
        <f>AND(#REF!,"AAAAAH/vf0E=")</f>
        <v>#REF!</v>
      </c>
      <c r="BO2" t="e">
        <f>IF(#REF!,"AAAAAH/vf0I=",0)</f>
        <v>#REF!</v>
      </c>
      <c r="BP2" t="e">
        <f>AND(#REF!,"AAAAAH/vf0M=")</f>
        <v>#REF!</v>
      </c>
      <c r="BQ2" t="e">
        <f>AND(#REF!,"AAAAAH/vf0Q=")</f>
        <v>#REF!</v>
      </c>
      <c r="BR2" t="e">
        <f>AND(#REF!,"AAAAAH/vf0U=")</f>
        <v>#REF!</v>
      </c>
      <c r="BS2" t="e">
        <f>AND(#REF!,"AAAAAH/vf0Y=")</f>
        <v>#REF!</v>
      </c>
      <c r="BT2" t="e">
        <f>AND(#REF!,"AAAAAH/vf0c=")</f>
        <v>#REF!</v>
      </c>
      <c r="BU2" t="e">
        <f>AND(#REF!,"AAAAAH/vf0g=")</f>
        <v>#REF!</v>
      </c>
      <c r="BV2" t="e">
        <f>IF(#REF!,"AAAAAH/vf0k=",0)</f>
        <v>#REF!</v>
      </c>
      <c r="BW2" t="e">
        <f>AND(#REF!,"AAAAAH/vf0o=")</f>
        <v>#REF!</v>
      </c>
      <c r="BX2" t="e">
        <f>AND(#REF!,"AAAAAH/vf0s=")</f>
        <v>#REF!</v>
      </c>
      <c r="BY2" t="e">
        <f>AND(#REF!,"AAAAAH/vf0w=")</f>
        <v>#REF!</v>
      </c>
      <c r="BZ2" t="e">
        <f>AND(#REF!,"AAAAAH/vf00=")</f>
        <v>#REF!</v>
      </c>
      <c r="CA2" t="e">
        <f>AND(#REF!,"AAAAAH/vf04=")</f>
        <v>#REF!</v>
      </c>
      <c r="CB2" t="e">
        <f>AND(#REF!,"AAAAAH/vf08=")</f>
        <v>#REF!</v>
      </c>
      <c r="CC2" t="e">
        <f>IF(#REF!,"AAAAAH/vf1A=",0)</f>
        <v>#REF!</v>
      </c>
      <c r="CD2" t="e">
        <f>AND(#REF!,"AAAAAH/vf1E=")</f>
        <v>#REF!</v>
      </c>
      <c r="CE2" t="e">
        <f>AND(#REF!,"AAAAAH/vf1I=")</f>
        <v>#REF!</v>
      </c>
      <c r="CF2" t="e">
        <f>AND(#REF!,"AAAAAH/vf1M=")</f>
        <v>#REF!</v>
      </c>
      <c r="CG2" t="e">
        <f>AND(#REF!,"AAAAAH/vf1Q=")</f>
        <v>#REF!</v>
      </c>
      <c r="CH2" t="e">
        <f>AND(#REF!,"AAAAAH/vf1U=")</f>
        <v>#REF!</v>
      </c>
      <c r="CI2" t="e">
        <f>AND(#REF!,"AAAAAH/vf1Y=")</f>
        <v>#REF!</v>
      </c>
      <c r="CJ2" t="e">
        <f>IF(#REF!,"AAAAAH/vf1c=",0)</f>
        <v>#REF!</v>
      </c>
      <c r="CK2" t="e">
        <f>AND(#REF!,"AAAAAH/vf1g=")</f>
        <v>#REF!</v>
      </c>
      <c r="CL2" t="e">
        <f>AND(#REF!,"AAAAAH/vf1k=")</f>
        <v>#REF!</v>
      </c>
      <c r="CM2" t="e">
        <f>AND(#REF!,"AAAAAH/vf1o=")</f>
        <v>#REF!</v>
      </c>
      <c r="CN2" t="e">
        <f>AND(#REF!,"AAAAAH/vf1s=")</f>
        <v>#REF!</v>
      </c>
      <c r="CO2" t="e">
        <f>AND(#REF!,"AAAAAH/vf1w=")</f>
        <v>#REF!</v>
      </c>
      <c r="CP2" t="e">
        <f>AND(#REF!,"AAAAAH/vf10=")</f>
        <v>#REF!</v>
      </c>
      <c r="CQ2" t="e">
        <f>IF(#REF!,"AAAAAH/vf14=",0)</f>
        <v>#REF!</v>
      </c>
      <c r="CR2" t="e">
        <f>AND(#REF!,"AAAAAH/vf18=")</f>
        <v>#REF!</v>
      </c>
      <c r="CS2" t="e">
        <f>AND(#REF!,"AAAAAH/vf2A=")</f>
        <v>#REF!</v>
      </c>
      <c r="CT2" t="e">
        <f>AND(#REF!,"AAAAAH/vf2E=")</f>
        <v>#REF!</v>
      </c>
      <c r="CU2" t="e">
        <f>AND(#REF!,"AAAAAH/vf2I=")</f>
        <v>#REF!</v>
      </c>
      <c r="CV2" t="e">
        <f>AND(#REF!,"AAAAAH/vf2M=")</f>
        <v>#REF!</v>
      </c>
      <c r="CW2" t="e">
        <f>AND(#REF!,"AAAAAH/vf2Q=")</f>
        <v>#REF!</v>
      </c>
      <c r="CX2" t="e">
        <f>IF(#REF!,"AAAAAH/vf2U=",0)</f>
        <v>#REF!</v>
      </c>
      <c r="CY2" t="e">
        <f>AND(#REF!,"AAAAAH/vf2Y=")</f>
        <v>#REF!</v>
      </c>
      <c r="CZ2" t="e">
        <f>AND(#REF!,"AAAAAH/vf2c=")</f>
        <v>#REF!</v>
      </c>
      <c r="DA2" t="e">
        <f>AND(#REF!,"AAAAAH/vf2g=")</f>
        <v>#REF!</v>
      </c>
      <c r="DB2" t="e">
        <f>AND(#REF!,"AAAAAH/vf2k=")</f>
        <v>#REF!</v>
      </c>
      <c r="DC2" t="e">
        <f>AND(#REF!,"AAAAAH/vf2o=")</f>
        <v>#REF!</v>
      </c>
      <c r="DD2" t="e">
        <f>AND(#REF!,"AAAAAH/vf2s=")</f>
        <v>#REF!</v>
      </c>
      <c r="DE2" t="e">
        <f>IF(#REF!,"AAAAAH/vf2w=",0)</f>
        <v>#REF!</v>
      </c>
      <c r="DF2" t="e">
        <f>AND(#REF!,"AAAAAH/vf20=")</f>
        <v>#REF!</v>
      </c>
      <c r="DG2" t="e">
        <f>AND(#REF!,"AAAAAH/vf24=")</f>
        <v>#REF!</v>
      </c>
      <c r="DH2" t="e">
        <f>AND(#REF!,"AAAAAH/vf28=")</f>
        <v>#REF!</v>
      </c>
      <c r="DI2" t="e">
        <f>AND(#REF!,"AAAAAH/vf3A=")</f>
        <v>#REF!</v>
      </c>
      <c r="DJ2" t="e">
        <f>AND(#REF!,"AAAAAH/vf3E=")</f>
        <v>#REF!</v>
      </c>
      <c r="DK2" t="e">
        <f>AND(#REF!,"AAAAAH/vf3I=")</f>
        <v>#REF!</v>
      </c>
      <c r="DL2" t="e">
        <f>IF(#REF!,"AAAAAH/vf3M=",0)</f>
        <v>#REF!</v>
      </c>
      <c r="DM2" t="e">
        <f>AND(#REF!,"AAAAAH/vf3Q=")</f>
        <v>#REF!</v>
      </c>
      <c r="DN2" t="e">
        <f>AND(#REF!,"AAAAAH/vf3U=")</f>
        <v>#REF!</v>
      </c>
      <c r="DO2" t="e">
        <f>AND(#REF!,"AAAAAH/vf3Y=")</f>
        <v>#REF!</v>
      </c>
      <c r="DP2" t="e">
        <f>AND(#REF!,"AAAAAH/vf3c=")</f>
        <v>#REF!</v>
      </c>
      <c r="DQ2" t="e">
        <f>AND(#REF!,"AAAAAH/vf3g=")</f>
        <v>#REF!</v>
      </c>
      <c r="DR2" t="e">
        <f>AND(#REF!,"AAAAAH/vf3k=")</f>
        <v>#REF!</v>
      </c>
      <c r="DS2" t="e">
        <f>IF(#REF!,"AAAAAH/vf3o=",0)</f>
        <v>#REF!</v>
      </c>
      <c r="DT2" t="e">
        <f>AND(#REF!,"AAAAAH/vf3s=")</f>
        <v>#REF!</v>
      </c>
      <c r="DU2" t="e">
        <f>AND(#REF!,"AAAAAH/vf3w=")</f>
        <v>#REF!</v>
      </c>
      <c r="DV2" t="e">
        <f>AND(#REF!,"AAAAAH/vf30=")</f>
        <v>#REF!</v>
      </c>
      <c r="DW2" t="e">
        <f>AND(#REF!,"AAAAAH/vf34=")</f>
        <v>#REF!</v>
      </c>
      <c r="DX2" t="e">
        <f>AND(#REF!,"AAAAAH/vf38=")</f>
        <v>#REF!</v>
      </c>
      <c r="DY2" t="e">
        <f>AND(#REF!,"AAAAAH/vf4A=")</f>
        <v>#REF!</v>
      </c>
      <c r="DZ2" t="e">
        <f>IF(#REF!,"AAAAAH/vf4E=",0)</f>
        <v>#REF!</v>
      </c>
      <c r="EA2" t="e">
        <f>AND(#REF!,"AAAAAH/vf4I=")</f>
        <v>#REF!</v>
      </c>
      <c r="EB2" t="e">
        <f>AND(#REF!,"AAAAAH/vf4M=")</f>
        <v>#REF!</v>
      </c>
      <c r="EC2" t="e">
        <f>AND(#REF!,"AAAAAH/vf4Q=")</f>
        <v>#REF!</v>
      </c>
      <c r="ED2" t="e">
        <f>AND(#REF!,"AAAAAH/vf4U=")</f>
        <v>#REF!</v>
      </c>
      <c r="EE2" t="e">
        <f>AND(#REF!,"AAAAAH/vf4Y=")</f>
        <v>#REF!</v>
      </c>
      <c r="EF2" t="e">
        <f>AND(#REF!,"AAAAAH/vf4c=")</f>
        <v>#REF!</v>
      </c>
      <c r="EG2" t="e">
        <f>IF(#REF!,"AAAAAH/vf4g=",0)</f>
        <v>#REF!</v>
      </c>
      <c r="EH2" t="e">
        <f>AND(#REF!,"AAAAAH/vf4k=")</f>
        <v>#REF!</v>
      </c>
      <c r="EI2" t="e">
        <f>AND(#REF!,"AAAAAH/vf4o=")</f>
        <v>#REF!</v>
      </c>
      <c r="EJ2" t="e">
        <f>AND(#REF!,"AAAAAH/vf4s=")</f>
        <v>#REF!</v>
      </c>
      <c r="EK2" t="e">
        <f>AND(#REF!,"AAAAAH/vf4w=")</f>
        <v>#REF!</v>
      </c>
      <c r="EL2" t="e">
        <f>AND(#REF!,"AAAAAH/vf40=")</f>
        <v>#REF!</v>
      </c>
      <c r="EM2" t="e">
        <f>AND(#REF!,"AAAAAH/vf44=")</f>
        <v>#REF!</v>
      </c>
      <c r="EN2" t="e">
        <f>IF(#REF!,"AAAAAH/vf48=",0)</f>
        <v>#REF!</v>
      </c>
      <c r="EO2" t="e">
        <f>AND(#REF!,"AAAAAH/vf5A=")</f>
        <v>#REF!</v>
      </c>
      <c r="EP2" t="e">
        <f>AND(#REF!,"AAAAAH/vf5E=")</f>
        <v>#REF!</v>
      </c>
      <c r="EQ2" t="e">
        <f>AND(#REF!,"AAAAAH/vf5I=")</f>
        <v>#REF!</v>
      </c>
      <c r="ER2" t="e">
        <f>AND(#REF!,"AAAAAH/vf5M=")</f>
        <v>#REF!</v>
      </c>
      <c r="ES2" t="e">
        <f>AND(#REF!,"AAAAAH/vf5Q=")</f>
        <v>#REF!</v>
      </c>
      <c r="ET2" t="e">
        <f>AND(#REF!,"AAAAAH/vf5U=")</f>
        <v>#REF!</v>
      </c>
      <c r="EU2" t="e">
        <f>IF(#REF!,"AAAAAH/vf5Y=",0)</f>
        <v>#REF!</v>
      </c>
      <c r="EV2" t="e">
        <f>AND(#REF!,"AAAAAH/vf5c=")</f>
        <v>#REF!</v>
      </c>
      <c r="EW2" t="e">
        <f>AND(#REF!,"AAAAAH/vf5g=")</f>
        <v>#REF!</v>
      </c>
      <c r="EX2" t="e">
        <f>AND(#REF!,"AAAAAH/vf5k=")</f>
        <v>#REF!</v>
      </c>
      <c r="EY2" t="e">
        <f>AND(#REF!,"AAAAAH/vf5o=")</f>
        <v>#REF!</v>
      </c>
      <c r="EZ2" t="e">
        <f>AND(#REF!,"AAAAAH/vf5s=")</f>
        <v>#REF!</v>
      </c>
      <c r="FA2" t="e">
        <f>AND(#REF!,"AAAAAH/vf5w=")</f>
        <v>#REF!</v>
      </c>
      <c r="FB2" t="e">
        <f>IF(#REF!,"AAAAAH/vf50=",0)</f>
        <v>#REF!</v>
      </c>
      <c r="FC2" t="e">
        <f>AND(#REF!,"AAAAAH/vf54=")</f>
        <v>#REF!</v>
      </c>
      <c r="FD2" t="e">
        <f>AND(#REF!,"AAAAAH/vf58=")</f>
        <v>#REF!</v>
      </c>
      <c r="FE2" t="e">
        <f>AND(#REF!,"AAAAAH/vf6A=")</f>
        <v>#REF!</v>
      </c>
      <c r="FF2" t="e">
        <f>AND(#REF!,"AAAAAH/vf6E=")</f>
        <v>#REF!</v>
      </c>
      <c r="FG2" t="e">
        <f>AND(#REF!,"AAAAAH/vf6I=")</f>
        <v>#REF!</v>
      </c>
      <c r="FH2" t="e">
        <f>AND(#REF!,"AAAAAH/vf6M=")</f>
        <v>#REF!</v>
      </c>
      <c r="FI2" t="e">
        <f>IF(#REF!,"AAAAAH/vf6Q=",0)</f>
        <v>#REF!</v>
      </c>
      <c r="FJ2" t="e">
        <f>AND(#REF!,"AAAAAH/vf6U=")</f>
        <v>#REF!</v>
      </c>
      <c r="FK2" t="e">
        <f>AND(#REF!,"AAAAAH/vf6Y=")</f>
        <v>#REF!</v>
      </c>
      <c r="FL2" t="e">
        <f>AND(#REF!,"AAAAAH/vf6c=")</f>
        <v>#REF!</v>
      </c>
      <c r="FM2" t="e">
        <f>AND(#REF!,"AAAAAH/vf6g=")</f>
        <v>#REF!</v>
      </c>
      <c r="FN2" t="e">
        <f>AND(#REF!,"AAAAAH/vf6k=")</f>
        <v>#REF!</v>
      </c>
      <c r="FO2" t="e">
        <f>AND(#REF!,"AAAAAH/vf6o=")</f>
        <v>#REF!</v>
      </c>
      <c r="FP2" t="e">
        <f>IF(#REF!,"AAAAAH/vf6s=",0)</f>
        <v>#REF!</v>
      </c>
      <c r="FQ2" t="e">
        <f>AND(#REF!,"AAAAAH/vf6w=")</f>
        <v>#REF!</v>
      </c>
      <c r="FR2" t="e">
        <f>AND(#REF!,"AAAAAH/vf60=")</f>
        <v>#REF!</v>
      </c>
      <c r="FS2" t="e">
        <f>AND(#REF!,"AAAAAH/vf64=")</f>
        <v>#REF!</v>
      </c>
      <c r="FT2" t="e">
        <f>AND(#REF!,"AAAAAH/vf68=")</f>
        <v>#REF!</v>
      </c>
      <c r="FU2" t="e">
        <f>AND(#REF!,"AAAAAH/vf7A=")</f>
        <v>#REF!</v>
      </c>
      <c r="FV2" t="e">
        <f>AND(#REF!,"AAAAAH/vf7E=")</f>
        <v>#REF!</v>
      </c>
      <c r="FW2" t="e">
        <f>IF(#REF!,"AAAAAH/vf7I=",0)</f>
        <v>#REF!</v>
      </c>
      <c r="FX2" t="e">
        <f>AND(#REF!,"AAAAAH/vf7M=")</f>
        <v>#REF!</v>
      </c>
      <c r="FY2" t="e">
        <f>AND(#REF!,"AAAAAH/vf7Q=")</f>
        <v>#REF!</v>
      </c>
      <c r="FZ2" t="e">
        <f>AND(#REF!,"AAAAAH/vf7U=")</f>
        <v>#REF!</v>
      </c>
      <c r="GA2" t="e">
        <f>AND(#REF!,"AAAAAH/vf7Y=")</f>
        <v>#REF!</v>
      </c>
      <c r="GB2" t="e">
        <f>AND(#REF!,"AAAAAH/vf7c=")</f>
        <v>#REF!</v>
      </c>
      <c r="GC2" t="e">
        <f>AND(#REF!,"AAAAAH/vf7g=")</f>
        <v>#REF!</v>
      </c>
      <c r="GD2" t="e">
        <f>IF(#REF!,"AAAAAH/vf7k=",0)</f>
        <v>#REF!</v>
      </c>
      <c r="GE2" t="e">
        <f>AND(#REF!,"AAAAAH/vf7o=")</f>
        <v>#REF!</v>
      </c>
      <c r="GF2" t="e">
        <f>AND(#REF!,"AAAAAH/vf7s=")</f>
        <v>#REF!</v>
      </c>
      <c r="GG2" t="e">
        <f>AND(#REF!,"AAAAAH/vf7w=")</f>
        <v>#REF!</v>
      </c>
      <c r="GH2" t="e">
        <f>AND(#REF!,"AAAAAH/vf70=")</f>
        <v>#REF!</v>
      </c>
      <c r="GI2" t="e">
        <f>AND(#REF!,"AAAAAH/vf74=")</f>
        <v>#REF!</v>
      </c>
      <c r="GJ2" t="e">
        <f>AND(#REF!,"AAAAAH/vf78=")</f>
        <v>#REF!</v>
      </c>
      <c r="GK2" t="e">
        <f>IF(#REF!,"AAAAAH/vf8A=",0)</f>
        <v>#REF!</v>
      </c>
      <c r="GL2" t="e">
        <f>AND(#REF!,"AAAAAH/vf8E=")</f>
        <v>#REF!</v>
      </c>
      <c r="GM2" t="e">
        <f>AND(#REF!,"AAAAAH/vf8I=")</f>
        <v>#REF!</v>
      </c>
      <c r="GN2" t="e">
        <f>AND(#REF!,"AAAAAH/vf8M=")</f>
        <v>#REF!</v>
      </c>
      <c r="GO2" t="e">
        <f>AND(#REF!,"AAAAAH/vf8Q=")</f>
        <v>#REF!</v>
      </c>
      <c r="GP2" t="e">
        <f>AND(#REF!,"AAAAAH/vf8U=")</f>
        <v>#REF!</v>
      </c>
      <c r="GQ2" t="e">
        <f>AND(#REF!,"AAAAAH/vf8Y=")</f>
        <v>#REF!</v>
      </c>
      <c r="GR2" t="e">
        <f>IF(#REF!,"AAAAAH/vf8c=",0)</f>
        <v>#REF!</v>
      </c>
      <c r="GS2" t="e">
        <f>AND(#REF!,"AAAAAH/vf8g=")</f>
        <v>#REF!</v>
      </c>
      <c r="GT2" t="e">
        <f>AND(#REF!,"AAAAAH/vf8k=")</f>
        <v>#REF!</v>
      </c>
      <c r="GU2" t="e">
        <f>AND(#REF!,"AAAAAH/vf8o=")</f>
        <v>#REF!</v>
      </c>
      <c r="GV2" t="e">
        <f>AND(#REF!,"AAAAAH/vf8s=")</f>
        <v>#REF!</v>
      </c>
      <c r="GW2" t="e">
        <f>AND(#REF!,"AAAAAH/vf8w=")</f>
        <v>#REF!</v>
      </c>
      <c r="GX2" t="e">
        <f>AND(#REF!,"AAAAAH/vf80=")</f>
        <v>#REF!</v>
      </c>
      <c r="GY2" t="e">
        <f>IF(#REF!,"AAAAAH/vf84=",0)</f>
        <v>#REF!</v>
      </c>
      <c r="GZ2" t="e">
        <f>AND(#REF!,"AAAAAH/vf88=")</f>
        <v>#REF!</v>
      </c>
      <c r="HA2" t="e">
        <f>AND(#REF!,"AAAAAH/vf9A=")</f>
        <v>#REF!</v>
      </c>
      <c r="HB2" t="e">
        <f>AND(#REF!,"AAAAAH/vf9E=")</f>
        <v>#REF!</v>
      </c>
      <c r="HC2" t="e">
        <f>AND(#REF!,"AAAAAH/vf9I=")</f>
        <v>#REF!</v>
      </c>
      <c r="HD2" t="e">
        <f>AND(#REF!,"AAAAAH/vf9M=")</f>
        <v>#REF!</v>
      </c>
      <c r="HE2" t="e">
        <f>AND(#REF!,"AAAAAH/vf9Q=")</f>
        <v>#REF!</v>
      </c>
      <c r="HF2" t="e">
        <f>IF(#REF!,"AAAAAH/vf9U=",0)</f>
        <v>#REF!</v>
      </c>
      <c r="HG2" t="e">
        <f>AND(#REF!,"AAAAAH/vf9Y=")</f>
        <v>#REF!</v>
      </c>
      <c r="HH2" t="e">
        <f>AND(#REF!,"AAAAAH/vf9c=")</f>
        <v>#REF!</v>
      </c>
      <c r="HI2" t="e">
        <f>AND(#REF!,"AAAAAH/vf9g=")</f>
        <v>#REF!</v>
      </c>
      <c r="HJ2" t="e">
        <f>AND(#REF!,"AAAAAH/vf9k=")</f>
        <v>#REF!</v>
      </c>
      <c r="HK2" t="e">
        <f>AND(#REF!,"AAAAAH/vf9o=")</f>
        <v>#REF!</v>
      </c>
      <c r="HL2" t="e">
        <f>AND(#REF!,"AAAAAH/vf9s=")</f>
        <v>#REF!</v>
      </c>
      <c r="HM2" t="e">
        <f>IF(#REF!,"AAAAAH/vf9w=",0)</f>
        <v>#REF!</v>
      </c>
      <c r="HN2" t="e">
        <f>AND(#REF!,"AAAAAH/vf90=")</f>
        <v>#REF!</v>
      </c>
      <c r="HO2" t="e">
        <f>AND(#REF!,"AAAAAH/vf94=")</f>
        <v>#REF!</v>
      </c>
      <c r="HP2" t="e">
        <f>AND(#REF!,"AAAAAH/vf98=")</f>
        <v>#REF!</v>
      </c>
      <c r="HQ2" t="e">
        <f>AND(#REF!,"AAAAAH/vf+A=")</f>
        <v>#REF!</v>
      </c>
      <c r="HR2" t="e">
        <f>AND(#REF!,"AAAAAH/vf+E=")</f>
        <v>#REF!</v>
      </c>
      <c r="HS2" t="e">
        <f>AND(#REF!,"AAAAAH/vf+I=")</f>
        <v>#REF!</v>
      </c>
      <c r="HT2" t="e">
        <f>IF(#REF!,"AAAAAH/vf+M=",0)</f>
        <v>#REF!</v>
      </c>
      <c r="HU2" t="e">
        <f>AND(#REF!,"AAAAAH/vf+Q=")</f>
        <v>#REF!</v>
      </c>
      <c r="HV2" t="e">
        <f>AND(#REF!,"AAAAAH/vf+U=")</f>
        <v>#REF!</v>
      </c>
      <c r="HW2" t="e">
        <f>AND(#REF!,"AAAAAH/vf+Y=")</f>
        <v>#REF!</v>
      </c>
      <c r="HX2" t="e">
        <f>AND(#REF!,"AAAAAH/vf+c=")</f>
        <v>#REF!</v>
      </c>
      <c r="HY2" t="e">
        <f>AND(#REF!,"AAAAAH/vf+g=")</f>
        <v>#REF!</v>
      </c>
      <c r="HZ2" t="e">
        <f>AND(#REF!,"AAAAAH/vf+k=")</f>
        <v>#REF!</v>
      </c>
      <c r="IA2" t="e">
        <f>IF(#REF!,"AAAAAH/vf+o=",0)</f>
        <v>#REF!</v>
      </c>
      <c r="IB2" t="e">
        <f>AND(#REF!,"AAAAAH/vf+s=")</f>
        <v>#REF!</v>
      </c>
      <c r="IC2" t="e">
        <f>AND(#REF!,"AAAAAH/vf+w=")</f>
        <v>#REF!</v>
      </c>
      <c r="ID2" t="e">
        <f>AND(#REF!,"AAAAAH/vf+0=")</f>
        <v>#REF!</v>
      </c>
      <c r="IE2" t="e">
        <f>AND(#REF!,"AAAAAH/vf+4=")</f>
        <v>#REF!</v>
      </c>
      <c r="IF2" t="e">
        <f>AND(#REF!,"AAAAAH/vf+8=")</f>
        <v>#REF!</v>
      </c>
      <c r="IG2" t="e">
        <f>AND(#REF!,"AAAAAH/vf/A=")</f>
        <v>#REF!</v>
      </c>
      <c r="IH2" t="e">
        <f>IF(#REF!,"AAAAAH/vf/E=",0)</f>
        <v>#REF!</v>
      </c>
      <c r="II2" t="e">
        <f>AND(#REF!,"AAAAAH/vf/I=")</f>
        <v>#REF!</v>
      </c>
      <c r="IJ2" t="e">
        <f>AND(#REF!,"AAAAAH/vf/M=")</f>
        <v>#REF!</v>
      </c>
      <c r="IK2" t="e">
        <f>AND(#REF!,"AAAAAH/vf/Q=")</f>
        <v>#REF!</v>
      </c>
      <c r="IL2" t="e">
        <f>AND(#REF!,"AAAAAH/vf/U=")</f>
        <v>#REF!</v>
      </c>
      <c r="IM2" t="e">
        <f>AND(#REF!,"AAAAAH/vf/Y=")</f>
        <v>#REF!</v>
      </c>
      <c r="IN2" t="e">
        <f>AND(#REF!,"AAAAAH/vf/c=")</f>
        <v>#REF!</v>
      </c>
      <c r="IO2" t="e">
        <f>IF(#REF!,"AAAAAH/vf/g=",0)</f>
        <v>#REF!</v>
      </c>
      <c r="IP2" t="e">
        <f>AND(#REF!,"AAAAAH/vf/k=")</f>
        <v>#REF!</v>
      </c>
      <c r="IQ2" t="e">
        <f>AND(#REF!,"AAAAAH/vf/o=")</f>
        <v>#REF!</v>
      </c>
      <c r="IR2" t="e">
        <f>AND(#REF!,"AAAAAH/vf/s=")</f>
        <v>#REF!</v>
      </c>
      <c r="IS2" t="e">
        <f>AND(#REF!,"AAAAAH/vf/w=")</f>
        <v>#REF!</v>
      </c>
      <c r="IT2" t="e">
        <f>AND(#REF!,"AAAAAH/vf/0=")</f>
        <v>#REF!</v>
      </c>
      <c r="IU2" t="e">
        <f>AND(#REF!,"AAAAAH/vf/4=")</f>
        <v>#REF!</v>
      </c>
      <c r="IV2" t="e">
        <f>IF(#REF!,"AAAAAH/vf/8=",0)</f>
        <v>#REF!</v>
      </c>
    </row>
    <row r="3" spans="1:256" x14ac:dyDescent="0.2">
      <c r="A3" t="e">
        <f>AND(#REF!,"AAAAABPz/wA=")</f>
        <v>#REF!</v>
      </c>
      <c r="B3" t="e">
        <f>AND(#REF!,"AAAAABPz/wE=")</f>
        <v>#REF!</v>
      </c>
      <c r="C3" t="e">
        <f>AND(#REF!,"AAAAABPz/wI=")</f>
        <v>#REF!</v>
      </c>
      <c r="D3" t="e">
        <f>AND(#REF!,"AAAAABPz/wM=")</f>
        <v>#REF!</v>
      </c>
      <c r="E3" t="e">
        <f>AND(#REF!,"AAAAABPz/wQ=")</f>
        <v>#REF!</v>
      </c>
      <c r="F3" t="e">
        <f>AND(#REF!,"AAAAABPz/wU=")</f>
        <v>#REF!</v>
      </c>
      <c r="G3" t="e">
        <f>IF(#REF!,"AAAAABPz/wY=",0)</f>
        <v>#REF!</v>
      </c>
      <c r="H3" t="e">
        <f>AND(#REF!,"AAAAABPz/wc=")</f>
        <v>#REF!</v>
      </c>
      <c r="I3" t="e">
        <f>AND(#REF!,"AAAAABPz/wg=")</f>
        <v>#REF!</v>
      </c>
      <c r="J3" t="e">
        <f>AND(#REF!,"AAAAABPz/wk=")</f>
        <v>#REF!</v>
      </c>
      <c r="K3" t="e">
        <f>AND(#REF!,"AAAAABPz/wo=")</f>
        <v>#REF!</v>
      </c>
      <c r="L3" t="e">
        <f>AND(#REF!,"AAAAABPz/ws=")</f>
        <v>#REF!</v>
      </c>
      <c r="M3" t="e">
        <f>AND(#REF!,"AAAAABPz/ww=")</f>
        <v>#REF!</v>
      </c>
      <c r="N3" t="e">
        <f>IF(#REF!,"AAAAABPz/w0=",0)</f>
        <v>#REF!</v>
      </c>
      <c r="O3" t="e">
        <f>AND(#REF!,"AAAAABPz/w4=")</f>
        <v>#REF!</v>
      </c>
      <c r="P3" t="e">
        <f>AND(#REF!,"AAAAABPz/w8=")</f>
        <v>#REF!</v>
      </c>
      <c r="Q3" t="e">
        <f>AND(#REF!,"AAAAABPz/xA=")</f>
        <v>#REF!</v>
      </c>
      <c r="R3" t="e">
        <f>AND(#REF!,"AAAAABPz/xE=")</f>
        <v>#REF!</v>
      </c>
      <c r="S3" t="e">
        <f>AND(#REF!,"AAAAABPz/xI=")</f>
        <v>#REF!</v>
      </c>
      <c r="T3" t="e">
        <f>AND(#REF!,"AAAAABPz/xM=")</f>
        <v>#REF!</v>
      </c>
      <c r="U3" t="e">
        <f>IF(#REF!,"AAAAABPz/xQ=",0)</f>
        <v>#REF!</v>
      </c>
      <c r="V3" t="e">
        <f>AND(#REF!,"AAAAABPz/xU=")</f>
        <v>#REF!</v>
      </c>
      <c r="W3" t="e">
        <f>AND(#REF!,"AAAAABPz/xY=")</f>
        <v>#REF!</v>
      </c>
      <c r="X3" t="e">
        <f>AND(#REF!,"AAAAABPz/xc=")</f>
        <v>#REF!</v>
      </c>
      <c r="Y3" t="e">
        <f>AND(#REF!,"AAAAABPz/xg=")</f>
        <v>#REF!</v>
      </c>
      <c r="Z3" t="e">
        <f>AND(#REF!,"AAAAABPz/xk=")</f>
        <v>#REF!</v>
      </c>
      <c r="AA3" t="e">
        <f>AND(#REF!,"AAAAABPz/xo=")</f>
        <v>#REF!</v>
      </c>
      <c r="AB3" t="e">
        <f>IF(#REF!,"AAAAABPz/xs=",0)</f>
        <v>#REF!</v>
      </c>
      <c r="AC3" t="e">
        <f>AND(#REF!,"AAAAABPz/xw=")</f>
        <v>#REF!</v>
      </c>
      <c r="AD3" t="e">
        <f>AND(#REF!,"AAAAABPz/x0=")</f>
        <v>#REF!</v>
      </c>
      <c r="AE3" t="e">
        <f>AND(#REF!,"AAAAABPz/x4=")</f>
        <v>#REF!</v>
      </c>
      <c r="AF3" t="e">
        <f>AND(#REF!,"AAAAABPz/x8=")</f>
        <v>#REF!</v>
      </c>
      <c r="AG3" t="e">
        <f>AND(#REF!,"AAAAABPz/yA=")</f>
        <v>#REF!</v>
      </c>
      <c r="AH3" t="e">
        <f>AND(#REF!,"AAAAABPz/yE=")</f>
        <v>#REF!</v>
      </c>
      <c r="AI3" t="e">
        <f>IF(#REF!,"AAAAABPz/yI=",0)</f>
        <v>#REF!</v>
      </c>
      <c r="AJ3" t="e">
        <f>AND(#REF!,"AAAAABPz/yM=")</f>
        <v>#REF!</v>
      </c>
      <c r="AK3" t="e">
        <f>AND(#REF!,"AAAAABPz/yQ=")</f>
        <v>#REF!</v>
      </c>
      <c r="AL3" t="e">
        <f>AND(#REF!,"AAAAABPz/yU=")</f>
        <v>#REF!</v>
      </c>
      <c r="AM3" t="e">
        <f>AND(#REF!,"AAAAABPz/yY=")</f>
        <v>#REF!</v>
      </c>
      <c r="AN3" t="e">
        <f>AND(#REF!,"AAAAABPz/yc=")</f>
        <v>#REF!</v>
      </c>
      <c r="AO3" t="e">
        <f>AND(#REF!,"AAAAABPz/yg=")</f>
        <v>#REF!</v>
      </c>
      <c r="AP3" t="e">
        <f>IF(#REF!,"AAAAABPz/yk=",0)</f>
        <v>#REF!</v>
      </c>
      <c r="AQ3" t="e">
        <f>AND(#REF!,"AAAAABPz/yo=")</f>
        <v>#REF!</v>
      </c>
      <c r="AR3" t="e">
        <f>AND(#REF!,"AAAAABPz/ys=")</f>
        <v>#REF!</v>
      </c>
      <c r="AS3" t="e">
        <f>AND(#REF!,"AAAAABPz/yw=")</f>
        <v>#REF!</v>
      </c>
      <c r="AT3" t="e">
        <f>AND(#REF!,"AAAAABPz/y0=")</f>
        <v>#REF!</v>
      </c>
      <c r="AU3" t="e">
        <f>AND(#REF!,"AAAAABPz/y4=")</f>
        <v>#REF!</v>
      </c>
      <c r="AV3" t="e">
        <f>AND(#REF!,"AAAAABPz/y8=")</f>
        <v>#REF!</v>
      </c>
      <c r="AW3" t="e">
        <f>IF(#REF!,"AAAAABPz/zA=",0)</f>
        <v>#REF!</v>
      </c>
      <c r="AX3" t="e">
        <f>AND(#REF!,"AAAAABPz/zE=")</f>
        <v>#REF!</v>
      </c>
      <c r="AY3" t="e">
        <f>AND(#REF!,"AAAAABPz/zI=")</f>
        <v>#REF!</v>
      </c>
      <c r="AZ3" t="e">
        <f>AND(#REF!,"AAAAABPz/zM=")</f>
        <v>#REF!</v>
      </c>
      <c r="BA3" t="e">
        <f>AND(#REF!,"AAAAABPz/zQ=")</f>
        <v>#REF!</v>
      </c>
      <c r="BB3" t="e">
        <f>AND(#REF!,"AAAAABPz/zU=")</f>
        <v>#REF!</v>
      </c>
      <c r="BC3" t="e">
        <f>AND(#REF!,"AAAAABPz/zY=")</f>
        <v>#REF!</v>
      </c>
      <c r="BD3" t="e">
        <f>IF(#REF!,"AAAAABPz/zc=",0)</f>
        <v>#REF!</v>
      </c>
      <c r="BE3" t="e">
        <f>AND(#REF!,"AAAAABPz/zg=")</f>
        <v>#REF!</v>
      </c>
      <c r="BF3" t="e">
        <f>AND(#REF!,"AAAAABPz/zk=")</f>
        <v>#REF!</v>
      </c>
      <c r="BG3" t="e">
        <f>AND(#REF!,"AAAAABPz/zo=")</f>
        <v>#REF!</v>
      </c>
      <c r="BH3" t="e">
        <f>AND(#REF!,"AAAAABPz/zs=")</f>
        <v>#REF!</v>
      </c>
      <c r="BI3" t="e">
        <f>AND(#REF!,"AAAAABPz/zw=")</f>
        <v>#REF!</v>
      </c>
      <c r="BJ3" t="e">
        <f>AND(#REF!,"AAAAABPz/z0=")</f>
        <v>#REF!</v>
      </c>
      <c r="BK3" t="e">
        <f>IF(#REF!,"AAAAABPz/z4=",0)</f>
        <v>#REF!</v>
      </c>
      <c r="BL3" t="e">
        <f>AND(#REF!,"AAAAABPz/z8=")</f>
        <v>#REF!</v>
      </c>
      <c r="BM3" t="e">
        <f>AND(#REF!,"AAAAABPz/0A=")</f>
        <v>#REF!</v>
      </c>
      <c r="BN3" t="e">
        <f>AND(#REF!,"AAAAABPz/0E=")</f>
        <v>#REF!</v>
      </c>
      <c r="BO3" t="e">
        <f>AND(#REF!,"AAAAABPz/0I=")</f>
        <v>#REF!</v>
      </c>
      <c r="BP3" t="e">
        <f>AND(#REF!,"AAAAABPz/0M=")</f>
        <v>#REF!</v>
      </c>
      <c r="BQ3" t="e">
        <f>AND(#REF!,"AAAAABPz/0Q=")</f>
        <v>#REF!</v>
      </c>
      <c r="BR3" t="e">
        <f>IF(#REF!,"AAAAABPz/0U=",0)</f>
        <v>#REF!</v>
      </c>
      <c r="BS3" t="e">
        <f>AND(#REF!,"AAAAABPz/0Y=")</f>
        <v>#REF!</v>
      </c>
      <c r="BT3" t="e">
        <f>AND(#REF!,"AAAAABPz/0c=")</f>
        <v>#REF!</v>
      </c>
      <c r="BU3" t="e">
        <f>AND(#REF!,"AAAAABPz/0g=")</f>
        <v>#REF!</v>
      </c>
      <c r="BV3" t="e">
        <f>AND(#REF!,"AAAAABPz/0k=")</f>
        <v>#REF!</v>
      </c>
      <c r="BW3" t="e">
        <f>AND(#REF!,"AAAAABPz/0o=")</f>
        <v>#REF!</v>
      </c>
      <c r="BX3" t="e">
        <f>AND(#REF!,"AAAAABPz/0s=")</f>
        <v>#REF!</v>
      </c>
      <c r="BY3" t="e">
        <f>IF(#REF!,"AAAAABPz/0w=",0)</f>
        <v>#REF!</v>
      </c>
      <c r="BZ3" t="e">
        <f>AND(#REF!,"AAAAABPz/00=")</f>
        <v>#REF!</v>
      </c>
      <c r="CA3" t="e">
        <f>AND(#REF!,"AAAAABPz/04=")</f>
        <v>#REF!</v>
      </c>
      <c r="CB3" t="e">
        <f>AND(#REF!,"AAAAABPz/08=")</f>
        <v>#REF!</v>
      </c>
      <c r="CC3" t="e">
        <f>AND(#REF!,"AAAAABPz/1A=")</f>
        <v>#REF!</v>
      </c>
      <c r="CD3" t="e">
        <f>AND(#REF!,"AAAAABPz/1E=")</f>
        <v>#REF!</v>
      </c>
      <c r="CE3" t="e">
        <f>AND(#REF!,"AAAAABPz/1I=")</f>
        <v>#REF!</v>
      </c>
      <c r="CF3" t="e">
        <f>IF(#REF!,"AAAAABPz/1M=",0)</f>
        <v>#REF!</v>
      </c>
      <c r="CG3" t="e">
        <f>AND(#REF!,"AAAAABPz/1Q=")</f>
        <v>#REF!</v>
      </c>
      <c r="CH3" t="e">
        <f>AND(#REF!,"AAAAABPz/1U=")</f>
        <v>#REF!</v>
      </c>
      <c r="CI3" t="e">
        <f>AND(#REF!,"AAAAABPz/1Y=")</f>
        <v>#REF!</v>
      </c>
      <c r="CJ3" t="e">
        <f>AND(#REF!,"AAAAABPz/1c=")</f>
        <v>#REF!</v>
      </c>
      <c r="CK3" t="e">
        <f>AND(#REF!,"AAAAABPz/1g=")</f>
        <v>#REF!</v>
      </c>
      <c r="CL3" t="e">
        <f>AND(#REF!,"AAAAABPz/1k=")</f>
        <v>#REF!</v>
      </c>
      <c r="CM3" t="e">
        <f>IF(#REF!,"AAAAABPz/1o=",0)</f>
        <v>#REF!</v>
      </c>
      <c r="CN3" t="e">
        <f>AND(#REF!,"AAAAABPz/1s=")</f>
        <v>#REF!</v>
      </c>
      <c r="CO3" t="e">
        <f>AND(#REF!,"AAAAABPz/1w=")</f>
        <v>#REF!</v>
      </c>
      <c r="CP3" t="e">
        <f>AND(#REF!,"AAAAABPz/10=")</f>
        <v>#REF!</v>
      </c>
      <c r="CQ3" t="e">
        <f>AND(#REF!,"AAAAABPz/14=")</f>
        <v>#REF!</v>
      </c>
      <c r="CR3" t="e">
        <f>AND(#REF!,"AAAAABPz/18=")</f>
        <v>#REF!</v>
      </c>
      <c r="CS3" t="e">
        <f>AND(#REF!,"AAAAABPz/2A=")</f>
        <v>#REF!</v>
      </c>
      <c r="CT3" t="e">
        <f>IF(#REF!,"AAAAABPz/2E=",0)</f>
        <v>#REF!</v>
      </c>
      <c r="CU3" t="e">
        <f>AND(#REF!,"AAAAABPz/2I=")</f>
        <v>#REF!</v>
      </c>
      <c r="CV3" t="e">
        <f>AND(#REF!,"AAAAABPz/2M=")</f>
        <v>#REF!</v>
      </c>
      <c r="CW3" t="e">
        <f>AND(#REF!,"AAAAABPz/2Q=")</f>
        <v>#REF!</v>
      </c>
      <c r="CX3" t="e">
        <f>AND(#REF!,"AAAAABPz/2U=")</f>
        <v>#REF!</v>
      </c>
      <c r="CY3" t="e">
        <f>AND(#REF!,"AAAAABPz/2Y=")</f>
        <v>#REF!</v>
      </c>
      <c r="CZ3" t="e">
        <f>AND(#REF!,"AAAAABPz/2c=")</f>
        <v>#REF!</v>
      </c>
      <c r="DA3" t="e">
        <f>IF(#REF!,"AAAAABPz/2g=",0)</f>
        <v>#REF!</v>
      </c>
      <c r="DB3" t="e">
        <f>AND(#REF!,"AAAAABPz/2k=")</f>
        <v>#REF!</v>
      </c>
      <c r="DC3" t="e">
        <f>AND(#REF!,"AAAAABPz/2o=")</f>
        <v>#REF!</v>
      </c>
      <c r="DD3" t="e">
        <f>AND(#REF!,"AAAAABPz/2s=")</f>
        <v>#REF!</v>
      </c>
      <c r="DE3" t="e">
        <f>AND(#REF!,"AAAAABPz/2w=")</f>
        <v>#REF!</v>
      </c>
      <c r="DF3" t="e">
        <f>AND(#REF!,"AAAAABPz/20=")</f>
        <v>#REF!</v>
      </c>
      <c r="DG3" t="e">
        <f>AND(#REF!,"AAAAABPz/24=")</f>
        <v>#REF!</v>
      </c>
      <c r="DH3" t="e">
        <f>IF(#REF!,"AAAAABPz/28=",0)</f>
        <v>#REF!</v>
      </c>
      <c r="DI3" t="e">
        <f>AND(#REF!,"AAAAABPz/3A=")</f>
        <v>#REF!</v>
      </c>
      <c r="DJ3" t="e">
        <f>AND(#REF!,"AAAAABPz/3E=")</f>
        <v>#REF!</v>
      </c>
      <c r="DK3" t="e">
        <f>AND(#REF!,"AAAAABPz/3I=")</f>
        <v>#REF!</v>
      </c>
      <c r="DL3" t="e">
        <f>AND(#REF!,"AAAAABPz/3M=")</f>
        <v>#REF!</v>
      </c>
      <c r="DM3" t="e">
        <f>AND(#REF!,"AAAAABPz/3Q=")</f>
        <v>#REF!</v>
      </c>
      <c r="DN3" t="e">
        <f>AND(#REF!,"AAAAABPz/3U=")</f>
        <v>#REF!</v>
      </c>
      <c r="DO3" t="e">
        <f>IF(#REF!,"AAAAABPz/3Y=",0)</f>
        <v>#REF!</v>
      </c>
      <c r="DP3" t="e">
        <f>AND(#REF!,"AAAAABPz/3c=")</f>
        <v>#REF!</v>
      </c>
      <c r="DQ3" t="e">
        <f>AND(#REF!,"AAAAABPz/3g=")</f>
        <v>#REF!</v>
      </c>
      <c r="DR3" t="e">
        <f>AND(#REF!,"AAAAABPz/3k=")</f>
        <v>#REF!</v>
      </c>
      <c r="DS3" t="e">
        <f>AND(#REF!,"AAAAABPz/3o=")</f>
        <v>#REF!</v>
      </c>
      <c r="DT3" t="e">
        <f>AND(#REF!,"AAAAABPz/3s=")</f>
        <v>#REF!</v>
      </c>
      <c r="DU3" t="e">
        <f>IF(#REF!,"AAAAABPz/3w=",0)</f>
        <v>#REF!</v>
      </c>
      <c r="DV3" t="e">
        <f>IF(#REF!,"AAAAABPz/30=",0)</f>
        <v>#REF!</v>
      </c>
      <c r="DW3" t="e">
        <f>IF(#REF!,"AAAAABPz/34=",0)</f>
        <v>#REF!</v>
      </c>
      <c r="DX3" t="e">
        <f>IF(#REF!,"AAAAABPz/38=",0)</f>
        <v>#REF!</v>
      </c>
      <c r="DY3" t="e">
        <f>IF(#REF!,"AAAAABPz/4A=",0)</f>
        <v>#REF!</v>
      </c>
      <c r="DZ3" t="e">
        <f>IF(#REF!,"AAAAABPz/4E=",0)</f>
        <v>#REF!</v>
      </c>
      <c r="EA3" t="e">
        <f>IF(#REF!,"AAAAABPz/4I=",0)</f>
        <v>#REF!</v>
      </c>
      <c r="EB3" t="e">
        <f>IF(#REF!,"AAAAABPz/4M=",0)</f>
        <v>#REF!</v>
      </c>
      <c r="EC3" t="e">
        <f>AND(#REF!,"AAAAABPz/4Q=")</f>
        <v>#REF!</v>
      </c>
      <c r="ED3" t="e">
        <f>AND(#REF!,"AAAAABPz/4U=")</f>
        <v>#REF!</v>
      </c>
      <c r="EE3" t="e">
        <f>AND(#REF!,"AAAAABPz/4Y=")</f>
        <v>#REF!</v>
      </c>
      <c r="EF3" t="e">
        <f>AND(#REF!,"AAAAABPz/4c=")</f>
        <v>#REF!</v>
      </c>
      <c r="EG3" t="e">
        <f>AND(#REF!,"AAAAABPz/4g=")</f>
        <v>#REF!</v>
      </c>
      <c r="EH3" t="e">
        <f>AND(#REF!,"AAAAABPz/4k=")</f>
        <v>#REF!</v>
      </c>
      <c r="EI3" t="e">
        <f>IF('[1]author and rec of changes'!#REF!,"AAAAABPz/4o=",0)</f>
        <v>#REF!</v>
      </c>
      <c r="EJ3" t="e">
        <f>AND('[1]author and rec of changes'!#REF!,"AAAAABPz/4s=")</f>
        <v>#REF!</v>
      </c>
      <c r="EK3" t="e">
        <f>AND('[1]author and rec of changes'!#REF!,"AAAAABPz/4w=")</f>
        <v>#REF!</v>
      </c>
      <c r="EL3" t="e">
        <f>AND('[1]author and rec of changes'!#REF!,"AAAAABPz/40=")</f>
        <v>#REF!</v>
      </c>
      <c r="EM3" t="e">
        <f>AND('[1]author and rec of changes'!#REF!,"AAAAABPz/44=")</f>
        <v>#REF!</v>
      </c>
      <c r="EN3" t="e">
        <f>AND('[1]author and rec of changes'!#REF!,"AAAAABPz/48=")</f>
        <v>#REF!</v>
      </c>
      <c r="EO3" t="e">
        <f>AND('[1]author and rec of changes'!#REF!,"AAAAABPz/5A=")</f>
        <v>#REF!</v>
      </c>
      <c r="EP3" t="e">
        <f>IF(#REF!,"AAAAABPz/5E=",0)</f>
        <v>#REF!</v>
      </c>
      <c r="EQ3" t="e">
        <f>AND(#REF!,"AAAAABPz/5I=")</f>
        <v>#REF!</v>
      </c>
      <c r="ER3" t="e">
        <f>AND(#REF!,"AAAAABPz/5M=")</f>
        <v>#REF!</v>
      </c>
      <c r="ES3" t="e">
        <f>AND(#REF!,"AAAAABPz/5Q=")</f>
        <v>#REF!</v>
      </c>
      <c r="ET3" t="e">
        <f>AND(#REF!,"AAAAABPz/5U=")</f>
        <v>#REF!</v>
      </c>
      <c r="EU3" t="e">
        <f>AND(#REF!,"AAAAABPz/5Y=")</f>
        <v>#REF!</v>
      </c>
      <c r="EV3" t="e">
        <f>AND(#REF!,"AAAAABPz/5c=")</f>
        <v>#REF!</v>
      </c>
      <c r="EW3" t="e">
        <f>IF(#REF!,"AAAAABPz/5g=",0)</f>
        <v>#REF!</v>
      </c>
      <c r="EX3" t="e">
        <f>AND(#REF!,"AAAAABPz/5k=")</f>
        <v>#REF!</v>
      </c>
      <c r="EY3" t="e">
        <f>AND(#REF!,"AAAAABPz/5o=")</f>
        <v>#REF!</v>
      </c>
      <c r="EZ3" t="e">
        <f>AND(#REF!,"AAAAABPz/5s=")</f>
        <v>#REF!</v>
      </c>
      <c r="FA3" t="e">
        <f>AND(#REF!,"AAAAABPz/5w=")</f>
        <v>#REF!</v>
      </c>
      <c r="FB3" t="e">
        <f>AND(#REF!,"AAAAABPz/50=")</f>
        <v>#REF!</v>
      </c>
      <c r="FC3" t="e">
        <f>AND(#REF!,"AAAAABPz/54=")</f>
        <v>#REF!</v>
      </c>
      <c r="FD3" t="e">
        <f>IF('[1]author and rec of changes'!#REF!,"AAAAABPz/58=",0)</f>
        <v>#REF!</v>
      </c>
      <c r="FE3" t="e">
        <f>AND('[1]author and rec of changes'!#REF!,"AAAAABPz/6A=")</f>
        <v>#REF!</v>
      </c>
      <c r="FF3" t="e">
        <f>AND('[1]author and rec of changes'!#REF!,"AAAAABPz/6E=")</f>
        <v>#REF!</v>
      </c>
      <c r="FG3" t="e">
        <f>AND('[1]author and rec of changes'!#REF!,"AAAAABPz/6I=")</f>
        <v>#REF!</v>
      </c>
      <c r="FH3" t="e">
        <f>AND('[1]author and rec of changes'!#REF!,"AAAAABPz/6M=")</f>
        <v>#REF!</v>
      </c>
      <c r="FI3" t="e">
        <f>AND('[1]author and rec of changes'!#REF!,"AAAAABPz/6Q=")</f>
        <v>#REF!</v>
      </c>
      <c r="FJ3" t="e">
        <f>AND('[1]author and rec of changes'!#REF!,"AAAAABPz/6U=")</f>
        <v>#REF!</v>
      </c>
      <c r="FK3" t="e">
        <f>IF('[1]author and rec of changes'!#REF!,"AAAAABPz/6Y=",0)</f>
        <v>#REF!</v>
      </c>
      <c r="FL3" t="e">
        <f>AND('[1]author and rec of changes'!#REF!,"AAAAABPz/6c=")</f>
        <v>#REF!</v>
      </c>
      <c r="FM3" t="e">
        <f>AND('[1]author and rec of changes'!#REF!,"AAAAABPz/6g=")</f>
        <v>#REF!</v>
      </c>
      <c r="FN3" t="e">
        <f>AND('[1]author and rec of changes'!#REF!,"AAAAABPz/6k=")</f>
        <v>#REF!</v>
      </c>
      <c r="FO3" t="e">
        <f>AND('[1]author and rec of changes'!#REF!,"AAAAABPz/6o=")</f>
        <v>#REF!</v>
      </c>
      <c r="FP3" t="e">
        <f>AND('[1]author and rec of changes'!#REF!,"AAAAABPz/6s=")</f>
        <v>#REF!</v>
      </c>
      <c r="FQ3" t="e">
        <f>AND('[1]author and rec of changes'!#REF!,"AAAAABPz/6w=")</f>
        <v>#REF!</v>
      </c>
      <c r="FR3" t="e">
        <f>IF(#REF!,"AAAAABPz/60=",0)</f>
        <v>#REF!</v>
      </c>
      <c r="FS3" t="e">
        <f>AND(#REF!,"AAAAABPz/64=")</f>
        <v>#REF!</v>
      </c>
      <c r="FT3" t="e">
        <f>AND(#REF!,"AAAAABPz/68=")</f>
        <v>#REF!</v>
      </c>
      <c r="FU3" t="e">
        <f>AND(#REF!,"AAAAABPz/7A=")</f>
        <v>#REF!</v>
      </c>
      <c r="FV3" t="e">
        <f>AND(#REF!,"AAAAABPz/7E=")</f>
        <v>#REF!</v>
      </c>
      <c r="FW3" t="e">
        <f>AND(#REF!,"AAAAABPz/7I=")</f>
        <v>#REF!</v>
      </c>
      <c r="FX3" t="e">
        <f>AND(#REF!,"AAAAABPz/7M=")</f>
        <v>#REF!</v>
      </c>
      <c r="FY3" t="e">
        <f>IF('[1]author and rec of changes'!#REF!,"AAAAABPz/7Q=",0)</f>
        <v>#REF!</v>
      </c>
      <c r="FZ3" t="e">
        <f>AND('[1]author and rec of changes'!#REF!,"AAAAABPz/7U=")</f>
        <v>#REF!</v>
      </c>
      <c r="GA3" t="e">
        <f>AND('[1]author and rec of changes'!#REF!,"AAAAABPz/7Y=")</f>
        <v>#REF!</v>
      </c>
      <c r="GB3" t="e">
        <f>AND('[1]author and rec of changes'!#REF!,"AAAAABPz/7c=")</f>
        <v>#REF!</v>
      </c>
      <c r="GC3" t="e">
        <f>AND('[1]author and rec of changes'!#REF!,"AAAAABPz/7g=")</f>
        <v>#REF!</v>
      </c>
      <c r="GD3" t="e">
        <f>AND('[1]author and rec of changes'!#REF!,"AAAAABPz/7k=")</f>
        <v>#REF!</v>
      </c>
      <c r="GE3" t="e">
        <f>AND('[1]author and rec of changes'!#REF!,"AAAAABPz/7o=")</f>
        <v>#REF!</v>
      </c>
      <c r="GF3" t="e">
        <f>IF('[1]author and rec of changes'!#REF!,"AAAAABPz/7s=",0)</f>
        <v>#REF!</v>
      </c>
      <c r="GG3" t="e">
        <f>AND('[1]author and rec of changes'!#REF!,"AAAAABPz/7w=")</f>
        <v>#REF!</v>
      </c>
      <c r="GH3" t="e">
        <f>AND('[1]author and rec of changes'!#REF!,"AAAAABPz/70=")</f>
        <v>#REF!</v>
      </c>
      <c r="GI3" t="e">
        <f>AND('[1]author and rec of changes'!#REF!,"AAAAABPz/74=")</f>
        <v>#REF!</v>
      </c>
      <c r="GJ3" t="e">
        <f>AND('[1]author and rec of changes'!#REF!,"AAAAABPz/78=")</f>
        <v>#REF!</v>
      </c>
      <c r="GK3" t="e">
        <f>AND('[1]author and rec of changes'!#REF!,"AAAAABPz/8A=")</f>
        <v>#REF!</v>
      </c>
      <c r="GL3" t="e">
        <f>AND('[1]author and rec of changes'!#REF!,"AAAAABPz/8E=")</f>
        <v>#REF!</v>
      </c>
      <c r="GM3" t="e">
        <f>IF('[1]author and rec of changes'!#REF!,"AAAAABPz/8I=",0)</f>
        <v>#REF!</v>
      </c>
      <c r="GN3" t="e">
        <f>AND('[1]author and rec of changes'!#REF!,"AAAAABPz/8M=")</f>
        <v>#REF!</v>
      </c>
      <c r="GO3" t="e">
        <f>AND('[1]author and rec of changes'!#REF!,"AAAAABPz/8Q=")</f>
        <v>#REF!</v>
      </c>
      <c r="GP3" t="e">
        <f>AND('[1]author and rec of changes'!#REF!,"AAAAABPz/8U=")</f>
        <v>#REF!</v>
      </c>
      <c r="GQ3" t="e">
        <f>AND('[1]author and rec of changes'!#REF!,"AAAAABPz/8Y=")</f>
        <v>#REF!</v>
      </c>
      <c r="GR3" t="e">
        <f>AND('[1]author and rec of changes'!#REF!,"AAAAABPz/8c=")</f>
        <v>#REF!</v>
      </c>
      <c r="GS3" t="e">
        <f>AND('[1]author and rec of changes'!#REF!,"AAAAABPz/8g=")</f>
        <v>#REF!</v>
      </c>
      <c r="GT3" t="e">
        <f>IF('[1]author and rec of changes'!#REF!,"AAAAABPz/8k=",0)</f>
        <v>#REF!</v>
      </c>
      <c r="GU3" t="e">
        <f>AND('[1]author and rec of changes'!#REF!,"AAAAABPz/8o=")</f>
        <v>#REF!</v>
      </c>
      <c r="GV3" t="e">
        <f>AND('[1]author and rec of changes'!#REF!,"AAAAABPz/8s=")</f>
        <v>#REF!</v>
      </c>
      <c r="GW3" t="e">
        <f>AND('[1]author and rec of changes'!#REF!,"AAAAABPz/8w=")</f>
        <v>#REF!</v>
      </c>
      <c r="GX3" t="e">
        <f>AND('[1]author and rec of changes'!#REF!,"AAAAABPz/80=")</f>
        <v>#REF!</v>
      </c>
      <c r="GY3" t="e">
        <f>AND('[1]author and rec of changes'!#REF!,"AAAAABPz/84=")</f>
        <v>#REF!</v>
      </c>
      <c r="GZ3" t="e">
        <f>AND('[1]author and rec of changes'!#REF!,"AAAAABPz/88=")</f>
        <v>#REF!</v>
      </c>
      <c r="HA3" t="e">
        <f>IF('[1]author and rec of changes'!#REF!,"AAAAABPz/9A=",0)</f>
        <v>#REF!</v>
      </c>
      <c r="HB3" t="e">
        <f>AND('[1]author and rec of changes'!#REF!,"AAAAABPz/9E=")</f>
        <v>#REF!</v>
      </c>
      <c r="HC3" t="e">
        <f>AND('[1]author and rec of changes'!#REF!,"AAAAABPz/9I=")</f>
        <v>#REF!</v>
      </c>
      <c r="HD3" t="e">
        <f>AND('[1]author and rec of changes'!#REF!,"AAAAABPz/9M=")</f>
        <v>#REF!</v>
      </c>
      <c r="HE3" t="e">
        <f>AND('[1]author and rec of changes'!#REF!,"AAAAABPz/9Q=")</f>
        <v>#REF!</v>
      </c>
      <c r="HF3" t="e">
        <f>AND('[1]author and rec of changes'!#REF!,"AAAAABPz/9U=")</f>
        <v>#REF!</v>
      </c>
      <c r="HG3" t="e">
        <f>AND('[1]author and rec of changes'!#REF!,"AAAAABPz/9Y=")</f>
        <v>#REF!</v>
      </c>
      <c r="HH3" t="e">
        <f>IF('[1]author and rec of changes'!#REF!,"AAAAABPz/9c=",0)</f>
        <v>#REF!</v>
      </c>
      <c r="HI3" t="e">
        <f>AND('[1]author and rec of changes'!#REF!,"AAAAABPz/9g=")</f>
        <v>#REF!</v>
      </c>
      <c r="HJ3" t="e">
        <f>AND('[1]author and rec of changes'!#REF!,"AAAAABPz/9k=")</f>
        <v>#REF!</v>
      </c>
      <c r="HK3" t="e">
        <f>AND('[1]author and rec of changes'!#REF!,"AAAAABPz/9o=")</f>
        <v>#REF!</v>
      </c>
      <c r="HL3" t="e">
        <f>AND('[1]author and rec of changes'!#REF!,"AAAAABPz/9s=")</f>
        <v>#REF!</v>
      </c>
      <c r="HM3" t="e">
        <f>AND('[1]author and rec of changes'!#REF!,"AAAAABPz/9w=")</f>
        <v>#REF!</v>
      </c>
      <c r="HN3" t="e">
        <f>AND('[1]author and rec of changes'!#REF!,"AAAAABPz/90=")</f>
        <v>#REF!</v>
      </c>
      <c r="HO3" t="e">
        <f>IF('[1]author and rec of changes'!#REF!,"AAAAABPz/94=",0)</f>
        <v>#REF!</v>
      </c>
      <c r="HP3" t="e">
        <f>AND('[1]author and rec of changes'!#REF!,"AAAAABPz/98=")</f>
        <v>#REF!</v>
      </c>
      <c r="HQ3" t="e">
        <f>AND('[1]author and rec of changes'!#REF!,"AAAAABPz/+A=")</f>
        <v>#REF!</v>
      </c>
      <c r="HR3" t="e">
        <f>AND('[1]author and rec of changes'!#REF!,"AAAAABPz/+E=")</f>
        <v>#REF!</v>
      </c>
      <c r="HS3" t="e">
        <f>AND('[1]author and rec of changes'!#REF!,"AAAAABPz/+I=")</f>
        <v>#REF!</v>
      </c>
      <c r="HT3" t="e">
        <f>AND('[1]author and rec of changes'!#REF!,"AAAAABPz/+M=")</f>
        <v>#REF!</v>
      </c>
      <c r="HU3" t="e">
        <f>AND('[1]author and rec of changes'!#REF!,"AAAAABPz/+Q=")</f>
        <v>#REF!</v>
      </c>
      <c r="HV3" t="e">
        <f>IF(#REF!,"AAAAABPz/+U=",0)</f>
        <v>#REF!</v>
      </c>
      <c r="HW3" t="e">
        <f>AND(#REF!,"AAAAABPz/+Y=")</f>
        <v>#REF!</v>
      </c>
      <c r="HX3" t="e">
        <f>AND(#REF!,"AAAAABPz/+c=")</f>
        <v>#REF!</v>
      </c>
      <c r="HY3" t="e">
        <f>AND(#REF!,"AAAAABPz/+g=")</f>
        <v>#REF!</v>
      </c>
      <c r="HZ3" t="e">
        <f>AND(#REF!,"AAAAABPz/+k=")</f>
        <v>#REF!</v>
      </c>
      <c r="IA3" t="e">
        <f>AND(#REF!,"AAAAABPz/+o=")</f>
        <v>#REF!</v>
      </c>
      <c r="IB3" t="e">
        <f>AND(#REF!,"AAAAABPz/+s=")</f>
        <v>#REF!</v>
      </c>
      <c r="IC3" t="e">
        <f>IF('[1]author and rec of changes'!#REF!,"AAAAABPz/+w=",0)</f>
        <v>#REF!</v>
      </c>
      <c r="ID3" t="e">
        <f>AND('[1]author and rec of changes'!#REF!,"AAAAABPz/+0=")</f>
        <v>#REF!</v>
      </c>
      <c r="IE3" t="e">
        <f>AND('[1]author and rec of changes'!#REF!,"AAAAABPz/+4=")</f>
        <v>#REF!</v>
      </c>
      <c r="IF3" t="e">
        <f>AND('[1]author and rec of changes'!#REF!,"AAAAABPz/+8=")</f>
        <v>#REF!</v>
      </c>
      <c r="IG3" t="e">
        <f>AND('[1]author and rec of changes'!#REF!,"AAAAABPz//A=")</f>
        <v>#REF!</v>
      </c>
      <c r="IH3" t="e">
        <f>AND('[1]author and rec of changes'!#REF!,"AAAAABPz//E=")</f>
        <v>#REF!</v>
      </c>
      <c r="II3" t="e">
        <f>AND('[1]author and rec of changes'!#REF!,"AAAAABPz//I=")</f>
        <v>#REF!</v>
      </c>
      <c r="IJ3" t="e">
        <f>IF('[1]author and rec of changes'!#REF!,"AAAAABPz//M=",0)</f>
        <v>#REF!</v>
      </c>
      <c r="IK3" t="e">
        <f>AND('[1]author and rec of changes'!#REF!,"AAAAABPz//Q=")</f>
        <v>#REF!</v>
      </c>
      <c r="IL3" t="e">
        <f>AND('[1]author and rec of changes'!#REF!,"AAAAABPz//U=")</f>
        <v>#REF!</v>
      </c>
      <c r="IM3" t="e">
        <f>AND('[1]author and rec of changes'!#REF!,"AAAAABPz//Y=")</f>
        <v>#REF!</v>
      </c>
      <c r="IN3" t="e">
        <f>AND('[1]author and rec of changes'!#REF!,"AAAAABPz//c=")</f>
        <v>#REF!</v>
      </c>
      <c r="IO3" t="e">
        <f>AND('[1]author and rec of changes'!#REF!,"AAAAABPz//g=")</f>
        <v>#REF!</v>
      </c>
      <c r="IP3" t="e">
        <f>AND('[1]author and rec of changes'!#REF!,"AAAAABPz//k=")</f>
        <v>#REF!</v>
      </c>
      <c r="IQ3" t="e">
        <f>IF(#REF!,"AAAAABPz//o=",0)</f>
        <v>#REF!</v>
      </c>
      <c r="IR3" t="e">
        <f>AND(#REF!,"AAAAABPz//s=")</f>
        <v>#REF!</v>
      </c>
      <c r="IS3" t="e">
        <f>AND(#REF!,"AAAAABPz//w=")</f>
        <v>#REF!</v>
      </c>
      <c r="IT3" t="e">
        <f>AND(#REF!,"AAAAABPz//0=")</f>
        <v>#REF!</v>
      </c>
      <c r="IU3" t="e">
        <f>AND(#REF!,"AAAAABPz//4=")</f>
        <v>#REF!</v>
      </c>
      <c r="IV3" t="e">
        <f>AND(#REF!,"AAAAABPz//8=")</f>
        <v>#REF!</v>
      </c>
    </row>
    <row r="4" spans="1:256" ht="15" x14ac:dyDescent="0.25">
      <c r="A4" t="e">
        <f>AND(#REF!,"AAAAAH/rVAA=")</f>
        <v>#REF!</v>
      </c>
      <c r="B4" t="e">
        <f>IF(#REF!,"AAAAAH/rVAE=",0)</f>
        <v>#REF!</v>
      </c>
      <c r="C4" t="e">
        <f>AND(#REF!,"AAAAAH/rVAI=")</f>
        <v>#REF!</v>
      </c>
      <c r="D4" t="e">
        <f>AND(#REF!,"AAAAAH/rVAM=")</f>
        <v>#REF!</v>
      </c>
      <c r="E4" t="e">
        <f>AND(#REF!,"AAAAAH/rVAQ=")</f>
        <v>#REF!</v>
      </c>
      <c r="F4" t="e">
        <f>AND(#REF!,"AAAAAH/rVAU=")</f>
        <v>#REF!</v>
      </c>
      <c r="G4" t="e">
        <f>AND(#REF!,"AAAAAH/rVAY=")</f>
        <v>#REF!</v>
      </c>
      <c r="H4" t="e">
        <f>AND(#REF!,"AAAAAH/rVAc=")</f>
        <v>#REF!</v>
      </c>
      <c r="I4" t="e">
        <f>IF(#REF!,"AAAAAH/rVAg=",0)</f>
        <v>#REF!</v>
      </c>
      <c r="J4" t="e">
        <f>AND(#REF!,"AAAAAH/rVAk=")</f>
        <v>#REF!</v>
      </c>
      <c r="K4" t="e">
        <f>AND(#REF!,"AAAAAH/rVAo=")</f>
        <v>#REF!</v>
      </c>
      <c r="L4" t="e">
        <f>AND(#REF!,"AAAAAH/rVAs=")</f>
        <v>#REF!</v>
      </c>
      <c r="M4" t="e">
        <f>AND(#REF!,"AAAAAH/rVAw=")</f>
        <v>#REF!</v>
      </c>
      <c r="N4" t="e">
        <f>AND(#REF!,"AAAAAH/rVA0=")</f>
        <v>#REF!</v>
      </c>
      <c r="O4" t="e">
        <f>AND(#REF!,"AAAAAH/rVA4=")</f>
        <v>#REF!</v>
      </c>
      <c r="P4" t="e">
        <f>IF(#REF!,"AAAAAH/rVA8=",0)</f>
        <v>#REF!</v>
      </c>
      <c r="Q4" t="e">
        <f>AND(#REF!,"AAAAAH/rVBA=")</f>
        <v>#REF!</v>
      </c>
      <c r="R4" t="e">
        <f>AND(#REF!,"AAAAAH/rVBE=")</f>
        <v>#REF!</v>
      </c>
      <c r="S4" t="e">
        <f>AND(#REF!,"AAAAAH/rVBI=")</f>
        <v>#REF!</v>
      </c>
      <c r="T4" t="e">
        <f>AND(#REF!,"AAAAAH/rVBM=")</f>
        <v>#REF!</v>
      </c>
      <c r="U4" t="e">
        <f>AND(#REF!,"AAAAAH/rVBQ=")</f>
        <v>#REF!</v>
      </c>
      <c r="V4" t="e">
        <f>AND(#REF!,"AAAAAH/rVBU=")</f>
        <v>#REF!</v>
      </c>
      <c r="W4" t="e">
        <f>IF(#REF!,"AAAAAH/rVBY=",0)</f>
        <v>#REF!</v>
      </c>
      <c r="X4" t="e">
        <f>IF(#REF!,"AAAAAH/rVBc=",0)</f>
        <v>#REF!</v>
      </c>
      <c r="Y4" t="e">
        <f>IF(#REF!,"AAAAAH/rVBg=",0)</f>
        <v>#REF!</v>
      </c>
      <c r="Z4" t="e">
        <f>IF(#REF!,"AAAAAH/rVBk=",0)</f>
        <v>#REF!</v>
      </c>
      <c r="AA4" t="e">
        <f>IF(#REF!,"AAAAAH/rVBo=",0)</f>
        <v>#REF!</v>
      </c>
      <c r="AB4" t="e">
        <f>IF(#REF!,"AAAAAH/rVBs=",0)</f>
        <v>#REF!</v>
      </c>
      <c r="AC4" t="e">
        <f>IF(#REF!,"AAAAAH/rVBw=",0)</f>
        <v>#REF!</v>
      </c>
      <c r="AD4" t="e">
        <f>IF(#REF!,"AAAAAH/rVB0=",0)</f>
        <v>#REF!</v>
      </c>
      <c r="AE4" t="e">
        <f>IF(#REF!,"AAAAAH/rVB4=",0)</f>
        <v>#REF!</v>
      </c>
      <c r="AF4" t="e">
        <f>IF(#REF!,"AAAAAH/rVB8=",0)</f>
        <v>#REF!</v>
      </c>
      <c r="AG4" t="e">
        <f>IF(#REF!,"AAAAAH/rVCA=",0)</f>
        <v>#REF!</v>
      </c>
      <c r="AH4" t="e">
        <f>IF(#REF!,"AAAAAH/rVCE=",0)</f>
        <v>#REF!</v>
      </c>
      <c r="AI4" t="e">
        <f>IF(#REF!,"AAAAAH/rVCI=",0)</f>
        <v>#REF!</v>
      </c>
      <c r="AJ4" t="s">
        <v>48</v>
      </c>
      <c r="AK4" s="21" t="s">
        <v>49</v>
      </c>
      <c r="AL4" s="22" t="s">
        <v>50</v>
      </c>
      <c r="AM4" t="e">
        <f>IF("N",[0]!_xlnm._FilterDatabase,"AAAAAH/rVCY=")</f>
        <v>#VALUE!</v>
      </c>
    </row>
    <row r="5" spans="1:256" x14ac:dyDescent="0.2">
      <c r="A5" t="e">
        <f>AND(#REF!,"AAAAACvx+wA=")</f>
        <v>#REF!</v>
      </c>
      <c r="B5" t="e">
        <f>IF(#REF!,"AAAAACvx+wE=",0)</f>
        <v>#REF!</v>
      </c>
      <c r="C5" t="e">
        <f>AND(#REF!,"AAAAACvx+wI=")</f>
        <v>#REF!</v>
      </c>
      <c r="D5" t="e">
        <f>AND(#REF!,"AAAAACvx+wM=")</f>
        <v>#REF!</v>
      </c>
      <c r="E5" t="e">
        <f>AND(#REF!,"AAAAACvx+wQ=")</f>
        <v>#REF!</v>
      </c>
      <c r="F5" t="e">
        <f>AND(#REF!,"AAAAACvx+wU=")</f>
        <v>#REF!</v>
      </c>
      <c r="G5" t="e">
        <f>AND(#REF!,"AAAAACvx+wY=")</f>
        <v>#REF!</v>
      </c>
      <c r="H5" t="e">
        <f>AND(#REF!,"AAAAACvx+wc=")</f>
        <v>#REF!</v>
      </c>
      <c r="I5" t="e">
        <f>AND(#REF!,"AAAAACvx+wg=")</f>
        <v>#REF!</v>
      </c>
      <c r="J5" t="e">
        <f>IF(#REF!,"AAAAACvx+wk=",0)</f>
        <v>#REF!</v>
      </c>
      <c r="K5" t="e">
        <f>AND(#REF!,"AAAAACvx+wo=")</f>
        <v>#REF!</v>
      </c>
      <c r="L5" t="e">
        <f>AND(#REF!,"AAAAACvx+ws=")</f>
        <v>#REF!</v>
      </c>
      <c r="M5" t="e">
        <f>AND(#REF!,"AAAAACvx+ww=")</f>
        <v>#REF!</v>
      </c>
      <c r="N5" t="e">
        <f>AND(#REF!,"AAAAACvx+w0=")</f>
        <v>#REF!</v>
      </c>
      <c r="O5" t="e">
        <f>AND(#REF!,"AAAAACvx+w4=")</f>
        <v>#REF!</v>
      </c>
      <c r="P5" t="e">
        <f>AND(#REF!,"AAAAACvx+w8=")</f>
        <v>#REF!</v>
      </c>
      <c r="Q5" t="e">
        <f>AND(#REF!,"AAAAACvx+xA=")</f>
        <v>#REF!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Schedule</vt:lpstr>
      <vt:lpstr>DV-IDENTITY-0</vt:lpstr>
      <vt:lpstr>Schedule!_FilterDatabase</vt:lpstr>
      <vt:lpstr>Schedule!_FilterDatabase_0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Topic Syllabus</dc:title>
  <dc:subject>1/1</dc:subject>
  <dc:creator>Nguyen Trung Kien</dc:creator>
  <cp:keywords>Syllabus</cp:keywords>
  <dc:description>- Sửa đổi toàn bộ cấu trúc &amp; nội dung tài liệu
Lý do:
Phục vụ nhu cầu thực tế</dc:description>
  <cp:lastModifiedBy>ThanhTC</cp:lastModifiedBy>
  <cp:revision>5</cp:revision>
  <dcterms:created xsi:type="dcterms:W3CDTF">2010-11-19T03:46:05Z</dcterms:created>
  <dcterms:modified xsi:type="dcterms:W3CDTF">2021-03-21T10:30:26Z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ategory">
    <vt:lpwstr>Template</vt:lpwstr>
  </property>
  <property fmtid="{D5CDD505-2E9C-101B-9397-08002B2CF9AE}" pid="4" name="contentStatus">
    <vt:lpwstr>20/11/2012</vt:lpwstr>
  </property>
</Properties>
</file>